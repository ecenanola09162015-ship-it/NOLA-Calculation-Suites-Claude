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Loads" sheetId="3" state="visible" r:id="rId5"/>
    <sheet name="Frame" sheetId="4" state="visible" r:id="rId6"/>
    <sheet name="Sections" sheetId="5" state="visible" r:id="rId7"/>
    <sheet name="Serviceability" sheetId="6" state="visible" r:id="rId8"/>
    <sheet name="Footing" sheetId="7" state="visible" r:id="rId9"/>
    <sheet name="Comparison" sheetId="8" state="visible" r:id="rId10"/>
    <sheet name="Finding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<sst xmlns="http://schemas.openxmlformats.org/spreadsheetml/2006/main" count="732" uniqueCount="450">
  <si>
    <t xml:space="preserve">Stairs Benchmark SB-1: Independent ACI 318-19 Hand Calculation vs Ñola Stairs Module</t>
  </si>
  <si>
    <t xml:space="preserve">Purpose</t>
  </si>
  <si>
    <t xml:space="preserve">Independent check of the Stairs module (engine stairs-0.1.0) on the MDM stair geometry with corrected design basis.</t>
  </si>
  <si>
    <t xml:space="preserve">Code</t>
  </si>
  <si>
    <t xml:space="preserve">ACI 318-19 (NSCP 2015 recorded as project standard). Combinations 1.2D + 1.6L and 1.4D.</t>
  </si>
  <si>
    <t xml:space="preserve">Structure</t>
  </si>
  <si>
    <t xml:space="preserve">Dog-leg, 2 × 13 risers, R 153.85, T 340, waist and landing 200 mm, B 1.8 m, mid landing 1,460 mm.</t>
  </si>
  <si>
    <t xml:space="preserve">Supports</t>
  </si>
  <si>
    <t xml:space="preserve">Flight 1: footing on soil (pinned) to landing beam (pinned). Flight 2: landing beam (pinned) to floor beam (fixed).</t>
  </si>
  <si>
    <t xml:space="preserve">Method</t>
  </si>
  <si>
    <t xml:space="preserve">Frame by force method / virtual work (hand.py, written separately from the module's stiffness solver); section checks as live Excel formulas from the ACI clauses; module values pasted from analyzeStairs().</t>
  </si>
  <si>
    <t xml:space="preserve">Colour code</t>
  </si>
  <si>
    <t xml:space="preserve">Blue = input · Black = Excel formula · Green = link to another sheet · Purple = value from hand.py or module output.</t>
  </si>
  <si>
    <t xml:space="preserve">Not independent</t>
  </si>
  <si>
    <t xml:space="preserve">Both use the same plan-load convention (steps to the last riser line) and the same thrust-envelope assumption; Findings 2 and 6 cover these.</t>
  </si>
  <si>
    <t xml:space="preserve">Result</t>
  </si>
  <si>
    <t xml:space="preserve">Values compared</t>
  </si>
  <si>
    <t xml:space="preserve">MATCH</t>
  </si>
  <si>
    <t xml:space="preserve">FLAG</t>
  </si>
  <si>
    <t xml:space="preserve">Largest |Δ|</t>
  </si>
  <si>
    <t xml:space="preserve">Sign-off</t>
  </si>
  <si>
    <t xml:space="preserve">Engineer: ____________________   Date: __________   (review the Findings sheet first)</t>
  </si>
  <si>
    <t xml:space="preserve">SB-1 Inputs (blue = input)</t>
  </si>
  <si>
    <t xml:space="preserve">Item</t>
  </si>
  <si>
    <t xml:space="preserve">Symbol</t>
  </si>
  <si>
    <t xml:space="preserve">Value</t>
  </si>
  <si>
    <t xml:space="preserve">Unit</t>
  </si>
  <si>
    <t xml:space="preserve">Reference / formula</t>
  </si>
  <si>
    <t xml:space="preserve">Note</t>
  </si>
  <si>
    <t xml:space="preserve">Materials</t>
  </si>
  <si>
    <t xml:space="preserve">Concrete strength</t>
  </si>
  <si>
    <t xml:space="preserve">f'c</t>
  </si>
  <si>
    <t xml:space="preserve">MPa</t>
  </si>
  <si>
    <t xml:space="preserve">User</t>
  </si>
  <si>
    <t xml:space="preserve">Rebar yield strength</t>
  </si>
  <si>
    <t xml:space="preserve">fy</t>
  </si>
  <si>
    <t xml:space="preserve">User (Grade 60 / PNS 49 Gr 415)</t>
  </si>
  <si>
    <t xml:space="preserve">Rebar modulus</t>
  </si>
  <si>
    <t xml:space="preserve">Es</t>
  </si>
  <si>
    <t xml:space="preserve">ACI 318-19 20.2.2.2</t>
  </si>
  <si>
    <t xml:space="preserve">Concrete unit weight</t>
  </si>
  <si>
    <t xml:space="preserve">γc</t>
  </si>
  <si>
    <t xml:space="preserve">kN/m³</t>
  </si>
  <si>
    <t xml:space="preserve">Module default</t>
  </si>
  <si>
    <t xml:space="preserve">Geometry</t>
  </si>
  <si>
    <t xml:space="preserve">Floor to floor</t>
  </si>
  <si>
    <t xml:space="preserve">H</t>
  </si>
  <si>
    <t xml:space="preserve">mm</t>
  </si>
  <si>
    <t xml:space="preserve">MDM sheet</t>
  </si>
  <si>
    <t xml:space="preserve">Risers per flight</t>
  </si>
  <si>
    <t xml:space="preserve">n</t>
  </si>
  <si>
    <t xml:space="preserve">MDM sheet (2 × 13)</t>
  </si>
  <si>
    <t xml:space="preserve">Riser</t>
  </si>
  <si>
    <t xml:space="preserve">R</t>
  </si>
  <si>
    <t xml:space="preserve">H / (2n) = 153.85</t>
  </si>
  <si>
    <t xml:space="preserve">Going (tread)</t>
  </si>
  <si>
    <t xml:space="preserve">T</t>
  </si>
  <si>
    <t xml:space="preserve">Waist thickness (normal to soffit)</t>
  </si>
  <si>
    <t xml:space="preserve">t</t>
  </si>
  <si>
    <t xml:space="preserve">Assumed: MDM's 100 mm fails hmin</t>
  </si>
  <si>
    <t xml:space="preserve">Landing thickness</t>
  </si>
  <si>
    <t xml:space="preserve">tl</t>
  </si>
  <si>
    <t xml:space="preserve">Assumed</t>
  </si>
  <si>
    <t xml:space="preserve">Mid-landing length (along run)</t>
  </si>
  <si>
    <t xml:space="preserve">Ll</t>
  </si>
  <si>
    <t xml:space="preserve">Flight width</t>
  </si>
  <si>
    <t xml:space="preserve">B</t>
  </si>
  <si>
    <t xml:space="preserve">Clear cover (top and bottom)</t>
  </si>
  <si>
    <t xml:space="preserve">cc</t>
  </si>
  <si>
    <t xml:space="preserve">Agreed default</t>
  </si>
  <si>
    <t xml:space="preserve">Support bearing width (all beams)</t>
  </si>
  <si>
    <t xml:space="preserve">b</t>
  </si>
  <si>
    <t xml:space="preserve">Agreed default (250 × 500 beams)</t>
  </si>
  <si>
    <t xml:space="preserve">Loads and combinations</t>
  </si>
  <si>
    <t xml:space="preserve">Finishes on plan</t>
  </si>
  <si>
    <t xml:space="preserve">SDL</t>
  </si>
  <si>
    <t xml:space="preserve">kPa</t>
  </si>
  <si>
    <t xml:space="preserve">Live load</t>
  </si>
  <si>
    <t xml:space="preserve">L</t>
  </si>
  <si>
    <t xml:space="preserve">NSCP 2015 Table 205-1 / ASCE 7 (stairs)</t>
  </si>
  <si>
    <t xml:space="preserve">LC1 dead factor</t>
  </si>
  <si>
    <t xml:space="preserve">ACI 318-19 Table 5.3.1 (5.3.1b)</t>
  </si>
  <si>
    <t xml:space="preserve">LC1 live factor</t>
  </si>
  <si>
    <t xml:space="preserve">LC2 dead factor</t>
  </si>
  <si>
    <t xml:space="preserve">ACI 318-19 Table 5.3.1 (5.3.1a)</t>
  </si>
  <si>
    <t xml:space="preserve">Reinforcement (module defaults)</t>
  </si>
  <si>
    <t xml:space="preserve">B1 main bottom: bar</t>
  </si>
  <si>
    <t xml:space="preserve">db</t>
  </si>
  <si>
    <t xml:space="preserve">B1 main bottom: spacing</t>
  </si>
  <si>
    <t xml:space="preserve">s</t>
  </si>
  <si>
    <t xml:space="preserve">T1 top at bottom support: bar</t>
  </si>
  <si>
    <t xml:space="preserve">T1 top at bottom support: spacing</t>
  </si>
  <si>
    <t xml:space="preserve">T2 top at top support: bar</t>
  </si>
  <si>
    <t xml:space="preserve">T2 top at top support: spacing</t>
  </si>
  <si>
    <t xml:space="preserve">T3 top at knees / landing: bar</t>
  </si>
  <si>
    <t xml:space="preserve">T3 top at knees / landing: spacing</t>
  </si>
  <si>
    <t xml:space="preserve">D1 distribution: bar</t>
  </si>
  <si>
    <t xml:space="preserve">D1 distribution: spacing</t>
  </si>
  <si>
    <t xml:space="preserve">Bottom-bar extension past knee</t>
  </si>
  <si>
    <t xml:space="preserve">T3 top-bar extension each side of knee</t>
  </si>
  <si>
    <t xml:space="preserve">Supports and footing</t>
  </si>
  <si>
    <t xml:space="preserve">Bottom of flight 1</t>
  </si>
  <si>
    <t xml:space="preserve">Footing on soil, pinned</t>
  </si>
  <si>
    <t xml:space="preserve">Mid landing far edge</t>
  </si>
  <si>
    <t xml:space="preserve">Landing beam, pinned</t>
  </si>
  <si>
    <t xml:space="preserve">Top of flight 2</t>
  </si>
  <si>
    <t xml:space="preserve">Floor beam, fixed</t>
  </si>
  <si>
    <t xml:space="preserve">Allowable bearing</t>
  </si>
  <si>
    <t xml:space="preserve">qa</t>
  </si>
  <si>
    <t xml:space="preserve">Footing width (along run)</t>
  </si>
  <si>
    <t xml:space="preserve">Bf</t>
  </si>
  <si>
    <t xml:space="preserve">Footing thickness</t>
  </si>
  <si>
    <t xml:space="preserve">hf</t>
  </si>
  <si>
    <t xml:space="preserve">Soil above footing (base 1.0 m below grade)</t>
  </si>
  <si>
    <t xml:space="preserve">Soil unit weight</t>
  </si>
  <si>
    <t xml:space="preserve">γs</t>
  </si>
  <si>
    <t xml:space="preserve">Base friction coefficient</t>
  </si>
  <si>
    <t xml:space="preserve">μ</t>
  </si>
  <si>
    <t xml:space="preserve">Footing cover</t>
  </si>
  <si>
    <t xml:space="preserve">ACI 318-19 20.5.1.3.1 (cast against earth)</t>
  </si>
  <si>
    <t xml:space="preserve">Footing bars: diameter</t>
  </si>
  <si>
    <t xml:space="preserve">Footing bars: spacing</t>
  </si>
  <si>
    <t xml:space="preserve">Loads on Plan (per 1 m strip)</t>
  </si>
  <si>
    <t xml:space="preserve">Pitch</t>
  </si>
  <si>
    <t xml:space="preserve">Pitch angle</t>
  </si>
  <si>
    <t xml:space="preserve">θ</t>
  </si>
  <si>
    <t xml:space="preserve">deg</t>
  </si>
  <si>
    <t xml:space="preserve">atan(R/T)</t>
  </si>
  <si>
    <t xml:space="preserve">cos θ</t>
  </si>
  <si>
    <t xml:space="preserve">tan θ</t>
  </si>
  <si>
    <t xml:space="preserve">Dead load</t>
  </si>
  <si>
    <t xml:space="preserve">Waist γc·t/cosθ</t>
  </si>
  <si>
    <t xml:space="preserve">Slab on slope converted to plan</t>
  </si>
  <si>
    <t xml:space="preserve">Steps γc·R/2</t>
  </si>
  <si>
    <t xml:space="preserve">Triangular steps, average depth R/2</t>
  </si>
  <si>
    <t xml:space="preserve">Flight dead load</t>
  </si>
  <si>
    <t xml:space="preserve">wD,f</t>
  </si>
  <si>
    <t xml:space="preserve">Waist + steps + finishes</t>
  </si>
  <si>
    <t xml:space="preserve">Landing dead load</t>
  </si>
  <si>
    <t xml:space="preserve">wD,l</t>
  </si>
  <si>
    <t xml:space="preserve">Factored (governing LC1)</t>
  </si>
  <si>
    <t xml:space="preserve">Flight wu</t>
  </si>
  <si>
    <t xml:space="preserve">1.2D + 1.6L</t>
  </si>
  <si>
    <t xml:space="preserve">Landing wu</t>
  </si>
  <si>
    <t xml:space="preserve">Plan load regions (convention)</t>
  </si>
  <si>
    <t xml:space="preserve">Flight 1: steps end at last riser line (n−1)T</t>
  </si>
  <si>
    <t xml:space="preserve">Landing top is the last tread</t>
  </si>
  <si>
    <t xml:space="preserve">Flight 1 strip span on plan</t>
  </si>
  <si>
    <t xml:space="preserve">L1</t>
  </si>
  <si>
    <t xml:space="preserve">Bottom pin to landing beam</t>
  </si>
  <si>
    <t xml:space="preserve">Flight 2 strip span on plan</t>
  </si>
  <si>
    <t xml:space="preserve">L2</t>
  </si>
  <si>
    <t xml:space="preserve">Landing beam to top beam</t>
  </si>
  <si>
    <t xml:space="preserve">Frame Analysis: Force Method (Virtual Work), Independent of the Module Solver</t>
  </si>
  <si>
    <t xml:space="preserve">Model</t>
  </si>
  <si>
    <t xml:space="preserve">Centreline frame</t>
  </si>
  <si>
    <t xml:space="preserve">Waist line parallel to pitch line at t/(2cosθ) below it; landing at tl/2 below its top; knee at the intersection</t>
  </si>
  <si>
    <t xml:space="preserve">Solution</t>
  </si>
  <si>
    <t xml:space="preserve">Force method</t>
  </si>
  <si>
    <t xml:space="preserve">Primary structure pin + roller; redundants by δ10 + Σ Xj δ1j = 0, δ = ∫M m/EI ds + ∫N n/EA ds (gross EcIg, Ec = 4700√f'c), 3,000 segments per member</t>
  </si>
  <si>
    <t xml:space="preserve">Script hand.py (purple values)</t>
  </si>
  <si>
    <t xml:space="preserve">Thrust envelope</t>
  </si>
  <si>
    <t xml:space="preserve">Both cases</t>
  </si>
  <si>
    <t xml:space="preserve">Horizontal restraint at both supports (restrained) and released at the second support (released); results enveloped, as in the module</t>
  </si>
  <si>
    <t xml:space="preserve">Excel closed-form check: flight 1 strip, horizontal restraint released (simply supported on plan)</t>
  </si>
  <si>
    <t xml:space="preserve">Left reaction under LC1</t>
  </si>
  <si>
    <t xml:space="preserve">RA</t>
  </si>
  <si>
    <t xml:space="preserve">kN/m</t>
  </si>
  <si>
    <t xml:space="preserve">Moments about the landing beam</t>
  </si>
  <si>
    <t xml:space="preserve">Zero shear from left</t>
  </si>
  <si>
    <t xml:space="preserve">x0</t>
  </si>
  <si>
    <t xml:space="preserve">m</t>
  </si>
  <si>
    <t xml:space="preserve">Within flight (x0 &lt; xe1)</t>
  </si>
  <si>
    <t xml:space="preserve">Mu+ max (released case)</t>
  </si>
  <si>
    <t xml:space="preserve">Mu+</t>
  </si>
  <si>
    <t xml:space="preserve">kN·m/m</t>
  </si>
  <si>
    <t xml:space="preserve">RA·x0/2</t>
  </si>
  <si>
    <t xml:space="preserve">Knee x (flight 1)</t>
  </si>
  <si>
    <t xml:space="preserve">Centreline intersection</t>
  </si>
  <si>
    <t xml:space="preserve">Flight 1 strip (pinned footing, pinned landing beam)</t>
  </si>
  <si>
    <t xml:space="preserve">Footing: dead vertical (service)</t>
  </si>
  <si>
    <t xml:space="preserve">Restrained case (larger)</t>
  </si>
  <si>
    <t xml:space="preserve">Footing: live vertical (service)</t>
  </si>
  <si>
    <t xml:space="preserve">Footing: service thrust H (restrained)</t>
  </si>
  <si>
    <t xml:space="preserve">D + L</t>
  </si>
  <si>
    <t xml:space="preserve">Footing: factored V max</t>
  </si>
  <si>
    <t xml:space="preserve">Envelope</t>
  </si>
  <si>
    <t xml:space="preserve">Footing: factored |H| max</t>
  </si>
  <si>
    <t xml:space="preserve">Landing beam: dead vertical</t>
  </si>
  <si>
    <t xml:space="preserve">Released case (larger)</t>
  </si>
  <si>
    <t xml:space="preserve">Landing beam: live vertical</t>
  </si>
  <si>
    <t xml:space="preserve">Landing beam: factored V min (uplift if &lt; 0)</t>
  </si>
  <si>
    <t xml:space="preserve">Restrained case, LC2/LC1</t>
  </si>
  <si>
    <t xml:space="preserve">Mu+ max, waist</t>
  </si>
  <si>
    <t xml:space="preserve">at x = 2.74 m (released case)</t>
  </si>
  <si>
    <t xml:space="preserve">Mu+ max, landing</t>
  </si>
  <si>
    <t xml:space="preserve">at the knee</t>
  </si>
  <si>
    <t xml:space="preserve">Mu− max, knee</t>
  </si>
  <si>
    <t xml:space="preserve">Restrained case (thrust)</t>
  </si>
  <si>
    <t xml:space="preserve">Vu max outside support zones (b/2 + d)</t>
  </si>
  <si>
    <t xml:space="preserve">at x = 4.44 m (knee)</t>
  </si>
  <si>
    <t xml:space="preserve">Max axial tension</t>
  </si>
  <si>
    <t xml:space="preserve">Flight 2 strip (pinned landing beam, fixed top beam)</t>
  </si>
  <si>
    <t xml:space="preserve">Top beam: dead vertical</t>
  </si>
  <si>
    <t xml:space="preserve">Top beam: live vertical</t>
  </si>
  <si>
    <t xml:space="preserve">Top beam: factored fixed-end |M|</t>
  </si>
  <si>
    <t xml:space="preserve">Released case governs (1.2·33.77 + 1.6·20.68)</t>
  </si>
  <si>
    <t xml:space="preserve">at x = 2.25 m</t>
  </si>
  <si>
    <t xml:space="preserve">Mu− at knee (landing side)</t>
  </si>
  <si>
    <t xml:space="preserve">Vu max outside support zones</t>
  </si>
  <si>
    <t xml:space="preserve">at x = 5.58 m (b/2 + d from top beam)</t>
  </si>
  <si>
    <t xml:space="preserve">Max axial tension (at top beam)</t>
  </si>
  <si>
    <t xml:space="preserve">Released case</t>
  </si>
  <si>
    <t xml:space="preserve">Section Capacities and Detailing (ACI 318-19)</t>
  </si>
  <si>
    <t xml:space="preserve">Effective depth, 12 mm bars</t>
  </si>
  <si>
    <t xml:space="preserve">d</t>
  </si>
  <si>
    <t xml:space="preserve">h − cc − db/2</t>
  </si>
  <si>
    <t xml:space="preserve">β1</t>
  </si>
  <si>
    <t xml:space="preserve">Table 22.2.2.4.3</t>
  </si>
  <si>
    <t xml:space="preserve">B1: Ø12 flexure (Whitney block)</t>
  </si>
  <si>
    <t xml:space="preserve">As per metre</t>
  </si>
  <si>
    <t xml:space="preserve">As</t>
  </si>
  <si>
    <t xml:space="preserve">mm²/m</t>
  </si>
  <si>
    <t xml:space="preserve">Block depth</t>
  </si>
  <si>
    <t xml:space="preserve">a</t>
  </si>
  <si>
    <t xml:space="preserve">22.2.2.4.1</t>
  </si>
  <si>
    <t xml:space="preserve">Steel strain</t>
  </si>
  <si>
    <t xml:space="preserve">εt</t>
  </si>
  <si>
    <t xml:space="preserve">22.2.1.2</t>
  </si>
  <si>
    <t xml:space="preserve">φ</t>
  </si>
  <si>
    <t xml:space="preserve">Table 21.2.2</t>
  </si>
  <si>
    <t xml:space="preserve">φMn</t>
  </si>
  <si>
    <t xml:space="preserve">22.2</t>
  </si>
  <si>
    <t xml:space="preserve">T1: Ø12 flexure (Whitney block)</t>
  </si>
  <si>
    <t xml:space="preserve">T2: Ø12 flexure (Whitney block)</t>
  </si>
  <si>
    <t xml:space="preserve">T3: Ø12 flexure (Whitney block)</t>
  </si>
  <si>
    <t xml:space="preserve">One-way shear, Table 22.5.5.1(c)</t>
  </si>
  <si>
    <t xml:space="preserve">Size effect λs</t>
  </si>
  <si>
    <t xml:space="preserve">22.5.5.1.3</t>
  </si>
  <si>
    <t xml:space="preserve">√f'c (≤ 8.3)</t>
  </si>
  <si>
    <t xml:space="preserve">22.5.3.1</t>
  </si>
  <si>
    <t xml:space="preserve">φVc with B1 (ρw from bottom bars), Nu = 0</t>
  </si>
  <si>
    <t xml:space="preserve">φ = 0.75</t>
  </si>
  <si>
    <t xml:space="preserve">φVc with T3, Nu = 0</t>
  </si>
  <si>
    <t xml:space="preserve">Knee hogging zone</t>
  </si>
  <si>
    <t xml:space="preserve">φVc with T2, Nu = tension at top beam</t>
  </si>
  <si>
    <t xml:space="preserve">Nu/(6Ag) term with tension (conservative: max Nu)</t>
  </si>
  <si>
    <t xml:space="preserve">Minimum steel, spacing, crack control</t>
  </si>
  <si>
    <t xml:space="preserve">ρ min (fy &lt; 420 → 0.0020)</t>
  </si>
  <si>
    <t xml:space="preserve">Table 24.4.3.2 / 7.6.1.1</t>
  </si>
  <si>
    <t xml:space="preserve">As,min = ρmin·b·h</t>
  </si>
  <si>
    <t xml:space="preserve">s max, main bars</t>
  </si>
  <si>
    <t xml:space="preserve">7.7.2.3</t>
  </si>
  <si>
    <t xml:space="preserve">fs = 2/3 fy</t>
  </si>
  <si>
    <t xml:space="preserve">24.3.2.1</t>
  </si>
  <si>
    <t xml:space="preserve">Crack-control spacing</t>
  </si>
  <si>
    <t xml:space="preserve">Table 24.3.2</t>
  </si>
  <si>
    <t xml:space="preserve">Development</t>
  </si>
  <si>
    <t xml:space="preserve">ld, Ø12 bottom (cb = cc + db/2)</t>
  </si>
  <si>
    <t xml:space="preserve">ld</t>
  </si>
  <si>
    <t xml:space="preserve">25.4.2.4, ψs 0.8, Ktr 0</t>
  </si>
  <si>
    <t xml:space="preserve">ld, Ø12 top bar (ψt 1.3) at fixed end</t>
  </si>
  <si>
    <t xml:space="preserve">Module applies ψt = 1.3 conservatively</t>
  </si>
  <si>
    <t xml:space="preserve">ψc</t>
  </si>
  <si>
    <t xml:space="preserve">Table 25.4.3.2</t>
  </si>
  <si>
    <t xml:space="preserve">ldh, Ø12 standard hook (ψr 1.6, ψo 1.25)</t>
  </si>
  <si>
    <t xml:space="preserve">ldh</t>
  </si>
  <si>
    <t xml:space="preserve">25.4.3.1(a)</t>
  </si>
  <si>
    <t xml:space="preserve">Minimum Thickness and Deflection</t>
  </si>
  <si>
    <t xml:space="preserve">Minimum thickness, Table 7.3.1.1 on developed length</t>
  </si>
  <si>
    <t xml:space="preserve">fy factor 0.4 + fy/700</t>
  </si>
  <si>
    <t xml:space="preserve">7.3.1.1.1</t>
  </si>
  <si>
    <t xml:space="preserve">Flight 1 strip developed length</t>
  </si>
  <si>
    <t xml:space="preserve">Centreline, from Frame model</t>
  </si>
  <si>
    <t xml:space="preserve">hmin flight 1 (simply supported, ℓ/20)</t>
  </si>
  <si>
    <t xml:space="preserve">Flight 2 strip developed length</t>
  </si>
  <si>
    <t xml:space="preserve">hmin flight 2 (one end continuous, ℓ/24)</t>
  </si>
  <si>
    <t xml:space="preserve">Fixed top</t>
  </si>
  <si>
    <t xml:space="preserve">Effective inertia, Table 24.2.3.5 (B1 bottom bars, governing sagging)</t>
  </si>
  <si>
    <t xml:space="preserve">Ec = 4700√f'c</t>
  </si>
  <si>
    <t xml:space="preserve">19.2.2.1(b)</t>
  </si>
  <si>
    <t xml:space="preserve">n = Es/Ec</t>
  </si>
  <si>
    <t xml:space="preserve">Ig per metre</t>
  </si>
  <si>
    <t xml:space="preserve">mm⁴</t>
  </si>
  <si>
    <t xml:space="preserve">Cracked neutral axis</t>
  </si>
  <si>
    <t xml:space="preserve">Icr</t>
  </si>
  <si>
    <t xml:space="preserve">Mcr = fr Ig / yt</t>
  </si>
  <si>
    <t xml:space="preserve">19.2.3.1</t>
  </si>
  <si>
    <t xml:space="preserve">Ma flight 1 strip (max service D+L)</t>
  </si>
  <si>
    <t xml:space="preserve">From Frame model</t>
  </si>
  <si>
    <t xml:space="preserve">Ie/Ig flight 1 strip</t>
  </si>
  <si>
    <t xml:space="preserve">Ie applied to the whole span</t>
  </si>
  <si>
    <t xml:space="preserve">Ma flight 2 strip (max service D+L)</t>
  </si>
  <si>
    <t xml:space="preserve">Ie/Ig flight 2 strip</t>
  </si>
  <si>
    <t xml:space="preserve">Deflection by virtual work with EcIe (envelope of both thrust cases)</t>
  </si>
  <si>
    <t xml:space="preserve">Flight 1: immediate live ΔL</t>
  </si>
  <si>
    <t xml:space="preserve">Unit load scanned at 111 points</t>
  </si>
  <si>
    <t xml:space="preserve">Flight 1: long-term λΔ·ΔD + ΔL (λΔ = 2.0, ψ = 0)</t>
  </si>
  <si>
    <t xml:space="preserve">24.2.4.1</t>
  </si>
  <si>
    <t xml:space="preserve">Flight 1: limit ℓ/360</t>
  </si>
  <si>
    <t xml:space="preserve">Table 24.2.2</t>
  </si>
  <si>
    <t xml:space="preserve">Flight 1: limit ℓ/240</t>
  </si>
  <si>
    <t xml:space="preserve">Flight 2: immediate live ΔL</t>
  </si>
  <si>
    <t xml:space="preserve">Flight 2: long-term λΔ·ΔD + ΔL (λΔ = 2.0, ψ = 0)</t>
  </si>
  <si>
    <t xml:space="preserve">Flight 2: limit ℓ/360</t>
  </si>
  <si>
    <t xml:space="preserve">Flight 2: limit ℓ/240</t>
  </si>
  <si>
    <t xml:space="preserve">Footing Under the Bottom Support (Strip Footing per m)</t>
  </si>
  <si>
    <t xml:space="preserve">Stair service reaction D + L</t>
  </si>
  <si>
    <t xml:space="preserve">Frame (restrained case)</t>
  </si>
  <si>
    <t xml:space="preserve">Footing weight</t>
  </si>
  <si>
    <t xml:space="preserve">Soil on footing (outside the seat)</t>
  </si>
  <si>
    <t xml:space="preserve">Total P</t>
  </si>
  <si>
    <t xml:space="preserve">Eccentricity e = H·hf / P</t>
  </si>
  <si>
    <t xml:space="preserve">Pinned seat, M = 0</t>
  </si>
  <si>
    <t xml:space="preserve">Kern limit Bf/6</t>
  </si>
  <si>
    <t xml:space="preserve">q max (∞ if e ≥ Bf/2)</t>
  </si>
  <si>
    <t xml:space="preserve">Resultant outside the footing</t>
  </si>
  <si>
    <t xml:space="preserve">Sliding μP/H</t>
  </si>
  <si>
    <t xml:space="preserve">Required 1.5</t>
  </si>
  <si>
    <t xml:space="preserve">Footing d</t>
  </si>
  <si>
    <t xml:space="preserve">Footing φMn (Ø12 @ 200)</t>
  </si>
  <si>
    <t xml:space="preserve">Tension-controlled (εt large)</t>
  </si>
  <si>
    <t xml:space="preserve">As,min = ρmin·b·hf</t>
  </si>
  <si>
    <t xml:space="preserve">As provided</t>
  </si>
  <si>
    <t xml:space="preserve">Hook space available hf − cover − Ø</t>
  </si>
  <si>
    <t xml:space="preserve">Hand Calculation vs Module (engine stairs-0.1.0)</t>
  </si>
  <si>
    <t xml:space="preserve">Tolerance: ±2% forces/deflections, ±1% capacities and code limits. Module values are pasted from analyzeStairs() output.</t>
  </si>
  <si>
    <t xml:space="preserve">#</t>
  </si>
  <si>
    <t xml:space="preserve">Quantity</t>
  </si>
  <si>
    <t xml:space="preserve">Hand</t>
  </si>
  <si>
    <t xml:space="preserve">Module</t>
  </si>
  <si>
    <t xml:space="preserve">Δ %</t>
  </si>
  <si>
    <t xml:space="preserve">Tol %</t>
  </si>
  <si>
    <t xml:space="preserve">Status</t>
  </si>
  <si>
    <t xml:space="preserve">Module source</t>
  </si>
  <si>
    <t xml:space="preserve">Loads</t>
  </si>
  <si>
    <t xml:space="preserve">Flight dead load on plan</t>
  </si>
  <si>
    <t xml:space="preserve">result.loads.flight.total</t>
  </si>
  <si>
    <t xml:space="preserve">result.loads.landings[0].dead</t>
  </si>
  <si>
    <t xml:space="preserve">Pitch angle θ</t>
  </si>
  <si>
    <t xml:space="preserve">result.pitch.degrees</t>
  </si>
  <si>
    <t xml:space="preserve">Flight 1 strip</t>
  </si>
  <si>
    <t xml:space="preserve">Footing dead reaction</t>
  </si>
  <si>
    <t xml:space="preserve">strips[0].reactions[0].dead.v</t>
  </si>
  <si>
    <t xml:space="preserve">Footing live reaction</t>
  </si>
  <si>
    <t xml:space="preserve">strips[0].reactions[0].live.v</t>
  </si>
  <si>
    <t xml:space="preserve">Footing service thrust H</t>
  </si>
  <si>
    <t xml:space="preserve">strips[0].reactions[0].service.h</t>
  </si>
  <si>
    <t xml:space="preserve">Footing factored V max</t>
  </si>
  <si>
    <t xml:space="preserve">factored.vMax</t>
  </si>
  <si>
    <t xml:space="preserve">Footing factored |H| max</t>
  </si>
  <si>
    <t xml:space="preserve">factored.hAbsMax</t>
  </si>
  <si>
    <t xml:space="preserve">Landing beam dead reaction</t>
  </si>
  <si>
    <t xml:space="preserve">strips[0].reactions[1].dead.v</t>
  </si>
  <si>
    <t xml:space="preserve">Landing beam live reaction</t>
  </si>
  <si>
    <t xml:space="preserve">strips[0].reactions[1].live.v</t>
  </si>
  <si>
    <t xml:space="preserve">Landing beam factored V min (uplift)</t>
  </si>
  <si>
    <t xml:space="preserve">factored.vMin</t>
  </si>
  <si>
    <t xml:space="preserve">Mu+ waist (Excel closed form, released case)</t>
  </si>
  <si>
    <t xml:space="preserve">check s1:flight-1:flexure-pos</t>
  </si>
  <si>
    <t xml:space="preserve">Mu+ waist (force method)</t>
  </si>
  <si>
    <t xml:space="preserve">max station mPos</t>
  </si>
  <si>
    <t xml:space="preserve">Mu− knee</t>
  </si>
  <si>
    <t xml:space="preserve">min station mNeg</t>
  </si>
  <si>
    <t xml:space="preserve">max station vu, |x − xs| ≥ b/2 + d</t>
  </si>
  <si>
    <t xml:space="preserve">Flight 2 strip</t>
  </si>
  <si>
    <t xml:space="preserve">strips[1].reactions[0].dead.v</t>
  </si>
  <si>
    <t xml:space="preserve">Top beam dead reaction</t>
  </si>
  <si>
    <t xml:space="preserve">strips[1].reactions[1].dead.v</t>
  </si>
  <si>
    <t xml:space="preserve">Top beam live reaction</t>
  </si>
  <si>
    <t xml:space="preserve">strips[1].reactions[1].live.v</t>
  </si>
  <si>
    <t xml:space="preserve">Top beam factored fixed-end |M|</t>
  </si>
  <si>
    <t xml:space="preserve">factored.mAbsMax</t>
  </si>
  <si>
    <t xml:space="preserve">Mu+ landing (at knee)</t>
  </si>
  <si>
    <t xml:space="preserve">check s2:mid-landing:flexure-pos</t>
  </si>
  <si>
    <t xml:space="preserve">Mu+ waist</t>
  </si>
  <si>
    <t xml:space="preserve">check s2:flight-2:flexure-pos</t>
  </si>
  <si>
    <t xml:space="preserve">Mu− knee (landing side)</t>
  </si>
  <si>
    <t xml:space="preserve">check s2:mid-landing:flexure-neg:topKnee</t>
  </si>
  <si>
    <t xml:space="preserve">max station vu</t>
  </si>
  <si>
    <t xml:space="preserve">max station nuTension</t>
  </si>
  <si>
    <t xml:space="preserve">Section capacities</t>
  </si>
  <si>
    <t xml:space="preserve">φMn B1 Ø12 @ 150</t>
  </si>
  <si>
    <t xml:space="preserve">check detail</t>
  </si>
  <si>
    <t xml:space="preserve">φMn T2 Ø12 @ 300</t>
  </si>
  <si>
    <t xml:space="preserve">φMn T3 Ø12 @ 200</t>
  </si>
  <si>
    <t xml:space="preserve">εt B1</t>
  </si>
  <si>
    <t xml:space="preserve">check detail (4 d.p.)</t>
  </si>
  <si>
    <t xml:space="preserve">As,min</t>
  </si>
  <si>
    <t xml:space="preserve">bars:mainBottom:minimum</t>
  </si>
  <si>
    <t xml:space="preserve">bars:mainBottom:crack</t>
  </si>
  <si>
    <t xml:space="preserve">ld Ø12 bottom</t>
  </si>
  <si>
    <t xml:space="preserve">detail:knee-bottom</t>
  </si>
  <si>
    <t xml:space="preserve">ld Ø12 top (ψt 1.3)</t>
  </si>
  <si>
    <t xml:space="preserve">detail:top-anchorage</t>
  </si>
  <si>
    <t xml:space="preserve">ldh Ø12</t>
  </si>
  <si>
    <t xml:space="preserve">footing.dowelRequired</t>
  </si>
  <si>
    <t xml:space="preserve">Serviceability</t>
  </si>
  <si>
    <t xml:space="preserve">hmin flight 1</t>
  </si>
  <si>
    <t xml:space="preserve">spans[0].hmin</t>
  </si>
  <si>
    <t xml:space="preserve">hmin flight 2</t>
  </si>
  <si>
    <t xml:space="preserve">Mcr</t>
  </si>
  <si>
    <t xml:space="preserve">spans[0].mcr</t>
  </si>
  <si>
    <t xml:space="preserve">Ie/Ig flight 1</t>
  </si>
  <si>
    <t xml:space="preserve">spans[0].ieRatio</t>
  </si>
  <si>
    <t xml:space="preserve">Ie/Ig flight 2</t>
  </si>
  <si>
    <t xml:space="preserve">ΔL flight 1</t>
  </si>
  <si>
    <t xml:space="preserve">spans[0].immediateLive</t>
  </si>
  <si>
    <t xml:space="preserve">Δ long-term + L, flight 1</t>
  </si>
  <si>
    <t xml:space="preserve">spans[0].total</t>
  </si>
  <si>
    <t xml:space="preserve">ΔL flight 2</t>
  </si>
  <si>
    <t xml:space="preserve">Δ long-term + L, flight 2</t>
  </si>
  <si>
    <t xml:space="preserve">Footing</t>
  </si>
  <si>
    <t xml:space="preserve">Total service P</t>
  </si>
  <si>
    <t xml:space="preserve">footing.serviceP</t>
  </si>
  <si>
    <t xml:space="preserve">Eccentricity</t>
  </si>
  <si>
    <t xml:space="preserve">footing.eccentricity</t>
  </si>
  <si>
    <t xml:space="preserve">footing.slidingFs</t>
  </si>
  <si>
    <t xml:space="preserve">Footing φMn</t>
  </si>
  <si>
    <t xml:space="preserve">footing.phiMn</t>
  </si>
  <si>
    <t xml:space="preserve">Findings From the Benchmark (for engineer review)</t>
  </si>
  <si>
    <t xml:space="preserve">Type</t>
  </si>
  <si>
    <t xml:space="preserve">Finding</t>
  </si>
  <si>
    <t xml:space="preserve">Evidence</t>
  </si>
  <si>
    <t xml:space="preserve">Recommendation</t>
  </si>
  <si>
    <t xml:space="preserve">Your decision</t>
  </si>
  <si>
    <t xml:space="preserve">Module issue</t>
  </si>
  <si>
    <t xml:space="preserve">One-way shear reports φVc = 0 (DCR ∞) at a station where the governing combination has a tiny hogging moment and no top bars exist (ρw = 0).</t>
  </si>
  <si>
    <t xml:space="preserve">s1:flight-1:shear: Vu 29.61 kN/m at x = 3.69 m, Mu− only −1.29 kN·m/m; s2:flight-2:shear same at x = 5.13 m. Real governing shear: flight 1 Vu 40.6 vs φVc 67.0 (T3) → 0.61; flight 2 Vu 52.8 at b/2 + d from the top beam vs φVc 41.6 (T2 Ø12 @ 300 with Nu tension 155 kN/m) → 1.27, a genuine shear failure that the ∞ result hides.</t>
  </si>
  <si>
    <t xml:space="preserve">Take ρw from the bars actually in tension at that station; where the hogging zone has no top bars, use the bottom bars when |Mu−| &lt; Mcr (section uncracked in hogging), else keep the 'no top bars' flag in flexure only. Fix in v1.1.</t>
  </si>
  <si>
    <t xml:space="preserve">Modelling decision</t>
  </si>
  <si>
    <t xml:space="preserve">Thrust envelope keeps the horizontal restraint at the FIRST support. For flight 1 that is the footing on soil, which then carries 131 kN/m service thrust: resultant outside the 600 mm footing, sliding FS 0.31.</t>
  </si>
  <si>
    <t xml:space="preserve">footing:bearing 'Resultant outside footing', footing:sliding DCR 4.77. Hand calc reproduces H = 130.92 kN/m exactly, so the arithmetic is right; the assumption is the issue.</t>
  </si>
  <si>
    <t xml:space="preserve">When the bottom support is on ground, release the horizontal restraint at the footing (soil cannot take thrust) and let the landing beam / floor diaphragm carry it; check the footing for vertical load and friction only.</t>
  </si>
  <si>
    <t xml:space="preserve">Modelling consequence</t>
  </si>
  <si>
    <t xml:space="preserve">In the restrained case the landing beam (pinned) takes 131 kN/m horizontal thrust and −19.6 kN/m factored uplift.</t>
  </si>
  <si>
    <t xml:space="preserve">strips[0].reactions[1].factored.vMin = −19.58 (hand −19.58).</t>
  </si>
  <si>
    <t xml:space="preserve">Report the landing-beam thrust and uplift in the reactions table so the beam is designed for them (currently a warning only).</t>
  </si>
  <si>
    <t xml:space="preserve">Design result (inputs)</t>
  </si>
  <si>
    <t xml:space="preserve">Default bars fail for this geometry: B1 Ø12 @ 150 (DCR 1.39), T2 Ø12 @ 300 at fixed top (3.07); h = 200 &lt; hmin and long-term deflection 78 mm &gt; ℓ/240.</t>
  </si>
  <si>
    <t xml:space="preserve">Matches hand calc; this is the design, not the software.</t>
  </si>
  <si>
    <t xml:space="preserve">Not a software issue. Benchmark keeps module default bars so all checks are exercised.</t>
  </si>
  <si>
    <t xml:space="preserve">Code note</t>
  </si>
  <si>
    <t xml:space="preserve">fy = 414 MPa (Grade 60) falls in the fy &lt; 420 row of Table 24.4.3.2 → ρmin 0.0020 and hmin factor 0.991.</t>
  </si>
  <si>
    <t xml:space="preserve">Literal reading of ACI 318-19 SI tables; same in hand calc.</t>
  </si>
  <si>
    <t xml:space="preserve">Keep. Optionally treat 414 as Grade 420 (US Grade 60) to get 0.0018; your call.</t>
  </si>
  <si>
    <t xml:space="preserve">Convention</t>
  </si>
  <si>
    <t xml:space="preserve">Steps' self-weight is applied up to the last riser line; between the last riser and the knee the landing load is used (concrete there is ~370 mm deep).</t>
  </si>
  <si>
    <t xml:space="preserve">Effect ≈ 0.8 kN per metre strip (&lt; 1% of span load). Hand calc uses the same textbook convention, so this benchmark does not test it.</t>
  </si>
  <si>
    <t xml:space="preserve">Accept (standard practice).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</si>
</sst>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General"/>
    <numFmt numFmtId="166" formatCode="0.000%"/>
    <numFmt numFmtId="167" formatCode="0.000"/>
    <numFmt numFmtId="168" formatCode="0.00"/>
    <numFmt numFmtId="169" formatCode="0"/>
    <numFmt numFmtId="170" formatCode="0.0"/>
    <numFmt numFmtId="171" formatCode="0.0000"/>
    <numFmt numFmtId="172" formatCode="0.000E+00"/>
    <numFmt numFmtId="173" formatCode="0.00%"/>
    <numFmt numFmtId="174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7030A0"/>
      <name val="Arial"/>
      <family val="0"/>
      <charset val="1"/>
    </font>
    <font>
      <i val="true"/>
      <sz val="11"/>
      <name val="Arial"/>
      <family val="0"/>
      <charset val="1"/>
    </font>
    <font>
      <sz val="11"/>
      <color theme="1"/>
      <name val="Arial"/>
      <family val="2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6EE"/>
        <bgColor rgb="FFC6EFCE"/>
      </patternFill>
    </fill>
    <fill>
      <patternFill patternType="solid">
        <fgColor rgb="FF263D4D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CC"/>
      </left>
      <right style="thin">
        <color rgb="FFB7C3CC"/>
      </right>
      <top style="thin">
        <color rgb="FFB7C3CC"/>
      </top>
      <bottom style="thin">
        <color rgb="FFB7C3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CC"/>
      <rgbColor rgb="FF808080"/>
      <rgbColor rgb="FF9999FF"/>
      <rgbColor rgb="FF7030A0"/>
      <rgbColor rgb="FFFFF2CC"/>
      <rgbColor rgb="FFDDE6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3D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26.8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26.8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4" t="s">
        <v>15</v>
      </c>
      <c r="B10" s="5"/>
    </row>
    <row r="11" customFormat="false" ht="15" hidden="false" customHeight="false" outlineLevel="0" collapsed="false">
      <c r="A11" s="2" t="s">
        <v>16</v>
      </c>
      <c r="B11" s="6" t="n">
        <f aca="false">Comparison!D58</f>
        <v>46</v>
      </c>
    </row>
    <row r="12" customFormat="false" ht="15" hidden="false" customHeight="false" outlineLevel="0" collapsed="false">
      <c r="A12" s="2" t="s">
        <v>17</v>
      </c>
      <c r="B12" s="6" t="n">
        <f aca="false">Comparison!D59</f>
        <v>46</v>
      </c>
    </row>
    <row r="13" customFormat="false" ht="15" hidden="false" customHeight="false" outlineLevel="0" collapsed="false">
      <c r="A13" s="2" t="s">
        <v>18</v>
      </c>
      <c r="B13" s="6" t="n">
        <f aca="false">Comparison!D60</f>
        <v>0</v>
      </c>
    </row>
    <row r="14" customFormat="false" ht="15" hidden="false" customHeight="false" outlineLevel="0" collapsed="false">
      <c r="A14" s="2" t="s">
        <v>19</v>
      </c>
      <c r="B14" s="7" t="n">
        <f aca="false">Comparison!D61</f>
        <v>0.00154676063478002</v>
      </c>
    </row>
    <row r="15" customFormat="false" ht="15" hidden="false" customHeight="false" outlineLevel="0" collapsed="false">
      <c r="A15" s="2" t="s">
        <v>20</v>
      </c>
      <c r="B15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5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22</v>
      </c>
    </row>
    <row r="3" customFormat="false" ht="15" hidden="false" customHeight="false" outlineLevel="0" collapsed="false">
      <c r="A3" s="8" t="s">
        <v>23</v>
      </c>
      <c r="B3" s="8" t="s">
        <v>24</v>
      </c>
      <c r="C3" s="8" t="s">
        <v>25</v>
      </c>
      <c r="D3" s="8" t="s">
        <v>26</v>
      </c>
      <c r="E3" s="8" t="s">
        <v>27</v>
      </c>
      <c r="F3" s="8" t="s">
        <v>28</v>
      </c>
    </row>
    <row r="5" customFormat="false" ht="15" hidden="false" customHeight="false" outlineLevel="0" collapsed="false">
      <c r="A5" s="4" t="s">
        <v>29</v>
      </c>
      <c r="B5" s="9"/>
      <c r="C5" s="9"/>
      <c r="D5" s="9"/>
      <c r="E5" s="9"/>
      <c r="F5" s="9"/>
    </row>
    <row r="6" customFormat="false" ht="15" hidden="false" customHeight="false" outlineLevel="0" collapsed="false">
      <c r="A6" s="10" t="s">
        <v>30</v>
      </c>
      <c r="B6" s="10" t="s">
        <v>31</v>
      </c>
      <c r="C6" s="11" t="n">
        <v>27.6</v>
      </c>
      <c r="D6" s="10" t="s">
        <v>32</v>
      </c>
      <c r="E6" s="12" t="s">
        <v>33</v>
      </c>
      <c r="F6" s="12"/>
    </row>
    <row r="7" customFormat="false" ht="15" hidden="false" customHeight="false" outlineLevel="0" collapsed="false">
      <c r="A7" s="10" t="s">
        <v>34</v>
      </c>
      <c r="B7" s="10" t="s">
        <v>35</v>
      </c>
      <c r="C7" s="11" t="n">
        <v>414</v>
      </c>
      <c r="D7" s="10" t="s">
        <v>32</v>
      </c>
      <c r="E7" s="12" t="s">
        <v>36</v>
      </c>
      <c r="F7" s="12"/>
    </row>
    <row r="8" customFormat="false" ht="15" hidden="false" customHeight="false" outlineLevel="0" collapsed="false">
      <c r="A8" s="10" t="s">
        <v>37</v>
      </c>
      <c r="B8" s="10" t="s">
        <v>38</v>
      </c>
      <c r="C8" s="11" t="n">
        <v>200000</v>
      </c>
      <c r="D8" s="10" t="s">
        <v>32</v>
      </c>
      <c r="E8" s="12" t="s">
        <v>39</v>
      </c>
      <c r="F8" s="12"/>
    </row>
    <row r="9" customFormat="false" ht="15" hidden="false" customHeight="false" outlineLevel="0" collapsed="false">
      <c r="A9" s="10" t="s">
        <v>40</v>
      </c>
      <c r="B9" s="10" t="s">
        <v>41</v>
      </c>
      <c r="C9" s="11" t="n">
        <v>24</v>
      </c>
      <c r="D9" s="10" t="s">
        <v>42</v>
      </c>
      <c r="E9" s="12" t="s">
        <v>43</v>
      </c>
      <c r="F9" s="12"/>
    </row>
    <row r="11" customFormat="false" ht="15" hidden="false" customHeight="false" outlineLevel="0" collapsed="false">
      <c r="A11" s="4" t="s">
        <v>44</v>
      </c>
      <c r="B11" s="9"/>
      <c r="C11" s="9"/>
      <c r="D11" s="9"/>
      <c r="E11" s="9"/>
      <c r="F11" s="9"/>
    </row>
    <row r="12" customFormat="false" ht="15" hidden="false" customHeight="false" outlineLevel="0" collapsed="false">
      <c r="A12" s="10" t="s">
        <v>45</v>
      </c>
      <c r="B12" s="10" t="s">
        <v>46</v>
      </c>
      <c r="C12" s="11" t="n">
        <v>4000</v>
      </c>
      <c r="D12" s="10" t="s">
        <v>47</v>
      </c>
      <c r="E12" s="12" t="s">
        <v>48</v>
      </c>
      <c r="F12" s="12"/>
    </row>
    <row r="13" customFormat="false" ht="15" hidden="false" customHeight="false" outlineLevel="0" collapsed="false">
      <c r="A13" s="10" t="s">
        <v>49</v>
      </c>
      <c r="B13" s="10" t="s">
        <v>50</v>
      </c>
      <c r="C13" s="11" t="n">
        <v>13</v>
      </c>
      <c r="D13" s="10"/>
      <c r="E13" s="12" t="s">
        <v>51</v>
      </c>
      <c r="F13" s="12"/>
    </row>
    <row r="14" customFormat="false" ht="15" hidden="false" customHeight="false" outlineLevel="0" collapsed="false">
      <c r="A14" s="10" t="s">
        <v>52</v>
      </c>
      <c r="B14" s="10" t="s">
        <v>53</v>
      </c>
      <c r="C14" s="13" t="n">
        <f aca="false">Inputs!$C$12/(2*Inputs!$C$13)</f>
        <v>153.846153846154</v>
      </c>
      <c r="D14" s="10" t="s">
        <v>47</v>
      </c>
      <c r="E14" s="12" t="s">
        <v>54</v>
      </c>
      <c r="F14" s="12"/>
    </row>
    <row r="15" customFormat="false" ht="15" hidden="false" customHeight="false" outlineLevel="0" collapsed="false">
      <c r="A15" s="10" t="s">
        <v>55</v>
      </c>
      <c r="B15" s="10" t="s">
        <v>56</v>
      </c>
      <c r="C15" s="11" t="n">
        <v>340</v>
      </c>
      <c r="D15" s="10" t="s">
        <v>47</v>
      </c>
      <c r="E15" s="12" t="s">
        <v>48</v>
      </c>
      <c r="F15" s="12"/>
    </row>
    <row r="16" customFormat="false" ht="15" hidden="false" customHeight="false" outlineLevel="0" collapsed="false">
      <c r="A16" s="10" t="s">
        <v>57</v>
      </c>
      <c r="B16" s="10" t="s">
        <v>58</v>
      </c>
      <c r="C16" s="11" t="n">
        <v>200</v>
      </c>
      <c r="D16" s="10" t="s">
        <v>47</v>
      </c>
      <c r="E16" s="12" t="s">
        <v>59</v>
      </c>
      <c r="F16" s="12"/>
    </row>
    <row r="17" customFormat="false" ht="15" hidden="false" customHeight="false" outlineLevel="0" collapsed="false">
      <c r="A17" s="10" t="s">
        <v>60</v>
      </c>
      <c r="B17" s="10" t="s">
        <v>61</v>
      </c>
      <c r="C17" s="11" t="n">
        <v>200</v>
      </c>
      <c r="D17" s="10" t="s">
        <v>47</v>
      </c>
      <c r="E17" s="12" t="s">
        <v>62</v>
      </c>
      <c r="F17" s="12"/>
    </row>
    <row r="18" customFormat="false" ht="15" hidden="false" customHeight="false" outlineLevel="0" collapsed="false">
      <c r="A18" s="10" t="s">
        <v>63</v>
      </c>
      <c r="B18" s="10" t="s">
        <v>64</v>
      </c>
      <c r="C18" s="11" t="n">
        <v>1460</v>
      </c>
      <c r="D18" s="10" t="s">
        <v>47</v>
      </c>
      <c r="E18" s="12" t="s">
        <v>48</v>
      </c>
      <c r="F18" s="12"/>
    </row>
    <row r="19" customFormat="false" ht="15" hidden="false" customHeight="false" outlineLevel="0" collapsed="false">
      <c r="A19" s="10" t="s">
        <v>65</v>
      </c>
      <c r="B19" s="10" t="s">
        <v>66</v>
      </c>
      <c r="C19" s="11" t="n">
        <v>1800</v>
      </c>
      <c r="D19" s="10" t="s">
        <v>47</v>
      </c>
      <c r="E19" s="12" t="s">
        <v>48</v>
      </c>
      <c r="F19" s="12"/>
    </row>
    <row r="20" customFormat="false" ht="15" hidden="false" customHeight="false" outlineLevel="0" collapsed="false">
      <c r="A20" s="10" t="s">
        <v>67</v>
      </c>
      <c r="B20" s="10" t="s">
        <v>68</v>
      </c>
      <c r="C20" s="11" t="n">
        <v>20</v>
      </c>
      <c r="D20" s="10" t="s">
        <v>47</v>
      </c>
      <c r="E20" s="12" t="s">
        <v>69</v>
      </c>
      <c r="F20" s="12"/>
    </row>
    <row r="21" customFormat="false" ht="15" hidden="false" customHeight="false" outlineLevel="0" collapsed="false">
      <c r="A21" s="10" t="s">
        <v>70</v>
      </c>
      <c r="B21" s="10" t="s">
        <v>71</v>
      </c>
      <c r="C21" s="11" t="n">
        <v>250</v>
      </c>
      <c r="D21" s="10" t="s">
        <v>47</v>
      </c>
      <c r="E21" s="12" t="s">
        <v>72</v>
      </c>
      <c r="F21" s="12"/>
    </row>
    <row r="23" customFormat="false" ht="15" hidden="false" customHeight="false" outlineLevel="0" collapsed="false">
      <c r="A23" s="4" t="s">
        <v>73</v>
      </c>
      <c r="B23" s="9"/>
      <c r="C23" s="9"/>
      <c r="D23" s="9"/>
      <c r="E23" s="9"/>
      <c r="F23" s="9"/>
    </row>
    <row r="24" customFormat="false" ht="15" hidden="false" customHeight="false" outlineLevel="0" collapsed="false">
      <c r="A24" s="10" t="s">
        <v>74</v>
      </c>
      <c r="B24" s="10" t="s">
        <v>75</v>
      </c>
      <c r="C24" s="11" t="n">
        <v>1</v>
      </c>
      <c r="D24" s="10" t="s">
        <v>76</v>
      </c>
      <c r="E24" s="12" t="s">
        <v>69</v>
      </c>
      <c r="F24" s="12"/>
    </row>
    <row r="25" customFormat="false" ht="15" hidden="false" customHeight="false" outlineLevel="0" collapsed="false">
      <c r="A25" s="10" t="s">
        <v>77</v>
      </c>
      <c r="B25" s="10" t="s">
        <v>78</v>
      </c>
      <c r="C25" s="11" t="n">
        <v>4.8</v>
      </c>
      <c r="D25" s="10" t="s">
        <v>76</v>
      </c>
      <c r="E25" s="12" t="s">
        <v>79</v>
      </c>
      <c r="F25" s="12"/>
    </row>
    <row r="26" customFormat="false" ht="15" hidden="false" customHeight="false" outlineLevel="0" collapsed="false">
      <c r="A26" s="10" t="s">
        <v>80</v>
      </c>
      <c r="B26" s="10"/>
      <c r="C26" s="11" t="n">
        <v>1.2</v>
      </c>
      <c r="D26" s="10"/>
      <c r="E26" s="12" t="s">
        <v>81</v>
      </c>
      <c r="F26" s="12"/>
    </row>
    <row r="27" customFormat="false" ht="15" hidden="false" customHeight="false" outlineLevel="0" collapsed="false">
      <c r="A27" s="10" t="s">
        <v>82</v>
      </c>
      <c r="B27" s="10"/>
      <c r="C27" s="11" t="n">
        <v>1.6</v>
      </c>
      <c r="D27" s="10"/>
      <c r="E27" s="12" t="s">
        <v>81</v>
      </c>
      <c r="F27" s="12"/>
    </row>
    <row r="28" customFormat="false" ht="15" hidden="false" customHeight="false" outlineLevel="0" collapsed="false">
      <c r="A28" s="10" t="s">
        <v>83</v>
      </c>
      <c r="B28" s="10"/>
      <c r="C28" s="11" t="n">
        <v>1.4</v>
      </c>
      <c r="D28" s="10"/>
      <c r="E28" s="12" t="s">
        <v>84</v>
      </c>
      <c r="F28" s="12"/>
    </row>
    <row r="30" customFormat="false" ht="15" hidden="false" customHeight="false" outlineLevel="0" collapsed="false">
      <c r="A30" s="4" t="s">
        <v>85</v>
      </c>
      <c r="B30" s="9"/>
      <c r="C30" s="9"/>
      <c r="D30" s="9"/>
      <c r="E30" s="9"/>
      <c r="F30" s="9"/>
    </row>
    <row r="31" customFormat="false" ht="15" hidden="false" customHeight="false" outlineLevel="0" collapsed="false">
      <c r="A31" s="10" t="s">
        <v>86</v>
      </c>
      <c r="B31" s="10" t="s">
        <v>87</v>
      </c>
      <c r="C31" s="14" t="n">
        <v>12</v>
      </c>
      <c r="D31" s="10" t="s">
        <v>47</v>
      </c>
      <c r="E31" s="12"/>
      <c r="F31" s="12"/>
    </row>
    <row r="32" customFormat="false" ht="15" hidden="false" customHeight="false" outlineLevel="0" collapsed="false">
      <c r="A32" s="10" t="s">
        <v>88</v>
      </c>
      <c r="B32" s="10" t="s">
        <v>89</v>
      </c>
      <c r="C32" s="14" t="n">
        <v>150</v>
      </c>
      <c r="D32" s="10" t="s">
        <v>47</v>
      </c>
      <c r="E32" s="12"/>
      <c r="F32" s="12"/>
    </row>
    <row r="33" customFormat="false" ht="15" hidden="false" customHeight="false" outlineLevel="0" collapsed="false">
      <c r="A33" s="10" t="s">
        <v>90</v>
      </c>
      <c r="B33" s="10" t="s">
        <v>87</v>
      </c>
      <c r="C33" s="14" t="n">
        <v>12</v>
      </c>
      <c r="D33" s="10" t="s">
        <v>47</v>
      </c>
      <c r="E33" s="12"/>
      <c r="F33" s="12"/>
    </row>
    <row r="34" customFormat="false" ht="15" hidden="false" customHeight="false" outlineLevel="0" collapsed="false">
      <c r="A34" s="10" t="s">
        <v>91</v>
      </c>
      <c r="B34" s="10" t="s">
        <v>89</v>
      </c>
      <c r="C34" s="14" t="n">
        <v>300</v>
      </c>
      <c r="D34" s="10" t="s">
        <v>47</v>
      </c>
      <c r="E34" s="12"/>
      <c r="F34" s="12"/>
    </row>
    <row r="35" customFormat="false" ht="15" hidden="false" customHeight="false" outlineLevel="0" collapsed="false">
      <c r="A35" s="10" t="s">
        <v>92</v>
      </c>
      <c r="B35" s="10" t="s">
        <v>87</v>
      </c>
      <c r="C35" s="14" t="n">
        <v>12</v>
      </c>
      <c r="D35" s="10" t="s">
        <v>47</v>
      </c>
      <c r="E35" s="12"/>
      <c r="F35" s="12"/>
    </row>
    <row r="36" customFormat="false" ht="15" hidden="false" customHeight="false" outlineLevel="0" collapsed="false">
      <c r="A36" s="10" t="s">
        <v>93</v>
      </c>
      <c r="B36" s="10" t="s">
        <v>89</v>
      </c>
      <c r="C36" s="14" t="n">
        <v>300</v>
      </c>
      <c r="D36" s="10" t="s">
        <v>47</v>
      </c>
      <c r="E36" s="12"/>
      <c r="F36" s="12"/>
    </row>
    <row r="37" customFormat="false" ht="15" hidden="false" customHeight="false" outlineLevel="0" collapsed="false">
      <c r="A37" s="10" t="s">
        <v>94</v>
      </c>
      <c r="B37" s="10" t="s">
        <v>87</v>
      </c>
      <c r="C37" s="14" t="n">
        <v>12</v>
      </c>
      <c r="D37" s="10" t="s">
        <v>47</v>
      </c>
      <c r="E37" s="12"/>
      <c r="F37" s="12"/>
    </row>
    <row r="38" customFormat="false" ht="15" hidden="false" customHeight="false" outlineLevel="0" collapsed="false">
      <c r="A38" s="10" t="s">
        <v>95</v>
      </c>
      <c r="B38" s="10" t="s">
        <v>89</v>
      </c>
      <c r="C38" s="14" t="n">
        <v>200</v>
      </c>
      <c r="D38" s="10" t="s">
        <v>47</v>
      </c>
      <c r="E38" s="12"/>
      <c r="F38" s="12"/>
    </row>
    <row r="39" customFormat="false" ht="15" hidden="false" customHeight="false" outlineLevel="0" collapsed="false">
      <c r="A39" s="10" t="s">
        <v>96</v>
      </c>
      <c r="B39" s="10" t="s">
        <v>87</v>
      </c>
      <c r="C39" s="14" t="n">
        <v>10</v>
      </c>
      <c r="D39" s="10" t="s">
        <v>47</v>
      </c>
      <c r="E39" s="12"/>
      <c r="F39" s="12"/>
    </row>
    <row r="40" customFormat="false" ht="15" hidden="false" customHeight="false" outlineLevel="0" collapsed="false">
      <c r="A40" s="10" t="s">
        <v>97</v>
      </c>
      <c r="B40" s="10" t="s">
        <v>89</v>
      </c>
      <c r="C40" s="14" t="n">
        <v>200</v>
      </c>
      <c r="D40" s="10" t="s">
        <v>47</v>
      </c>
      <c r="E40" s="12"/>
      <c r="F40" s="12"/>
    </row>
    <row r="41" customFormat="false" ht="15" hidden="false" customHeight="false" outlineLevel="0" collapsed="false">
      <c r="A41" s="10" t="s">
        <v>98</v>
      </c>
      <c r="B41" s="10"/>
      <c r="C41" s="14" t="n">
        <v>600</v>
      </c>
      <c r="D41" s="10" t="s">
        <v>47</v>
      </c>
      <c r="E41" s="12" t="s">
        <v>43</v>
      </c>
      <c r="F41" s="12"/>
    </row>
    <row r="42" customFormat="false" ht="15" hidden="false" customHeight="false" outlineLevel="0" collapsed="false">
      <c r="A42" s="10" t="s">
        <v>99</v>
      </c>
      <c r="B42" s="10"/>
      <c r="C42" s="14" t="n">
        <v>700</v>
      </c>
      <c r="D42" s="10" t="s">
        <v>47</v>
      </c>
      <c r="E42" s="12" t="s">
        <v>43</v>
      </c>
      <c r="F42" s="12"/>
    </row>
    <row r="44" customFormat="false" ht="15" hidden="false" customHeight="false" outlineLevel="0" collapsed="false">
      <c r="A44" s="4" t="s">
        <v>100</v>
      </c>
      <c r="B44" s="9"/>
      <c r="C44" s="9"/>
      <c r="D44" s="9"/>
      <c r="E44" s="9"/>
      <c r="F44" s="9"/>
    </row>
    <row r="45" customFormat="false" ht="15" hidden="false" customHeight="false" outlineLevel="0" collapsed="false">
      <c r="A45" s="10" t="s">
        <v>101</v>
      </c>
      <c r="B45" s="10"/>
      <c r="C45" s="11" t="s">
        <v>102</v>
      </c>
      <c r="D45" s="10"/>
      <c r="E45" s="12" t="s">
        <v>33</v>
      </c>
      <c r="F45" s="12"/>
    </row>
    <row r="46" customFormat="false" ht="15" hidden="false" customHeight="false" outlineLevel="0" collapsed="false">
      <c r="A46" s="10" t="s">
        <v>103</v>
      </c>
      <c r="B46" s="10"/>
      <c r="C46" s="11" t="s">
        <v>104</v>
      </c>
      <c r="D46" s="10"/>
      <c r="E46" s="12" t="s">
        <v>33</v>
      </c>
      <c r="F46" s="12"/>
    </row>
    <row r="47" customFormat="false" ht="15" hidden="false" customHeight="false" outlineLevel="0" collapsed="false">
      <c r="A47" s="10" t="s">
        <v>105</v>
      </c>
      <c r="B47" s="10"/>
      <c r="C47" s="11" t="s">
        <v>106</v>
      </c>
      <c r="D47" s="10"/>
      <c r="E47" s="12" t="s">
        <v>33</v>
      </c>
      <c r="F47" s="12"/>
    </row>
    <row r="48" customFormat="false" ht="15" hidden="false" customHeight="false" outlineLevel="0" collapsed="false">
      <c r="A48" s="10" t="s">
        <v>107</v>
      </c>
      <c r="B48" s="10" t="s">
        <v>108</v>
      </c>
      <c r="C48" s="11" t="n">
        <v>150</v>
      </c>
      <c r="D48" s="10" t="s">
        <v>76</v>
      </c>
      <c r="E48" s="12" t="s">
        <v>69</v>
      </c>
      <c r="F48" s="12"/>
    </row>
    <row r="49" customFormat="false" ht="15" hidden="false" customHeight="false" outlineLevel="0" collapsed="false">
      <c r="A49" s="10" t="s">
        <v>109</v>
      </c>
      <c r="B49" s="10" t="s">
        <v>110</v>
      </c>
      <c r="C49" s="11" t="n">
        <v>600</v>
      </c>
      <c r="D49" s="10" t="s">
        <v>47</v>
      </c>
      <c r="E49" s="12" t="s">
        <v>43</v>
      </c>
      <c r="F49" s="12"/>
    </row>
    <row r="50" customFormat="false" ht="15" hidden="false" customHeight="false" outlineLevel="0" collapsed="false">
      <c r="A50" s="10" t="s">
        <v>111</v>
      </c>
      <c r="B50" s="10" t="s">
        <v>112</v>
      </c>
      <c r="C50" s="11" t="n">
        <v>300</v>
      </c>
      <c r="D50" s="10" t="s">
        <v>47</v>
      </c>
      <c r="E50" s="12" t="s">
        <v>43</v>
      </c>
      <c r="F50" s="12"/>
    </row>
    <row r="51" customFormat="false" ht="15" hidden="false" customHeight="false" outlineLevel="0" collapsed="false">
      <c r="A51" s="10" t="s">
        <v>113</v>
      </c>
      <c r="B51" s="10"/>
      <c r="C51" s="11" t="n">
        <v>700</v>
      </c>
      <c r="D51" s="10" t="s">
        <v>47</v>
      </c>
      <c r="E51" s="12" t="s">
        <v>69</v>
      </c>
      <c r="F51" s="12"/>
    </row>
    <row r="52" customFormat="false" ht="15" hidden="false" customHeight="false" outlineLevel="0" collapsed="false">
      <c r="A52" s="10" t="s">
        <v>114</v>
      </c>
      <c r="B52" s="10" t="s">
        <v>115</v>
      </c>
      <c r="C52" s="11" t="n">
        <v>18</v>
      </c>
      <c r="D52" s="10" t="s">
        <v>42</v>
      </c>
      <c r="E52" s="12" t="s">
        <v>43</v>
      </c>
      <c r="F52" s="12"/>
    </row>
    <row r="53" customFormat="false" ht="15" hidden="false" customHeight="false" outlineLevel="0" collapsed="false">
      <c r="A53" s="10" t="s">
        <v>116</v>
      </c>
      <c r="B53" s="10" t="s">
        <v>117</v>
      </c>
      <c r="C53" s="11" t="n">
        <v>0.45</v>
      </c>
      <c r="D53" s="10"/>
      <c r="E53" s="12" t="s">
        <v>43</v>
      </c>
      <c r="F53" s="12"/>
    </row>
    <row r="54" customFormat="false" ht="15" hidden="false" customHeight="false" outlineLevel="0" collapsed="false">
      <c r="A54" s="10" t="s">
        <v>118</v>
      </c>
      <c r="B54" s="10"/>
      <c r="C54" s="11" t="n">
        <v>75</v>
      </c>
      <c r="D54" s="10" t="s">
        <v>47</v>
      </c>
      <c r="E54" s="12" t="s">
        <v>119</v>
      </c>
      <c r="F54" s="12"/>
    </row>
    <row r="55" customFormat="false" ht="15" hidden="false" customHeight="false" outlineLevel="0" collapsed="false">
      <c r="A55" s="10" t="s">
        <v>120</v>
      </c>
      <c r="B55" s="10"/>
      <c r="C55" s="14" t="n">
        <v>12</v>
      </c>
      <c r="D55" s="10" t="s">
        <v>47</v>
      </c>
      <c r="E55" s="12"/>
      <c r="F55" s="12"/>
    </row>
    <row r="56" customFormat="false" ht="15" hidden="false" customHeight="false" outlineLevel="0" collapsed="false">
      <c r="A56" s="10" t="s">
        <v>121</v>
      </c>
      <c r="B56" s="10"/>
      <c r="C56" s="14" t="n">
        <v>200</v>
      </c>
      <c r="D56" s="10" t="s">
        <v>47</v>
      </c>
      <c r="E56" s="12"/>
      <c r="F5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5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122</v>
      </c>
    </row>
    <row r="3" customFormat="false" ht="15" hidden="false" customHeight="false" outlineLevel="0" collapsed="false">
      <c r="A3" s="8" t="s">
        <v>23</v>
      </c>
      <c r="B3" s="8" t="s">
        <v>24</v>
      </c>
      <c r="C3" s="8" t="s">
        <v>25</v>
      </c>
      <c r="D3" s="8" t="s">
        <v>26</v>
      </c>
      <c r="E3" s="8" t="s">
        <v>27</v>
      </c>
      <c r="F3" s="8" t="s">
        <v>28</v>
      </c>
    </row>
    <row r="5" customFormat="false" ht="15" hidden="false" customHeight="false" outlineLevel="0" collapsed="false">
      <c r="A5" s="4" t="s">
        <v>123</v>
      </c>
      <c r="B5" s="9"/>
      <c r="C5" s="9"/>
      <c r="D5" s="9"/>
      <c r="E5" s="9"/>
      <c r="F5" s="9"/>
    </row>
    <row r="6" customFormat="false" ht="15" hidden="false" customHeight="false" outlineLevel="0" collapsed="false">
      <c r="A6" s="10" t="s">
        <v>124</v>
      </c>
      <c r="B6" s="10" t="s">
        <v>125</v>
      </c>
      <c r="C6" s="15" t="n">
        <f aca="false">DEGREES(ATAN(Inputs!$C$14/Inputs!$C$15))</f>
        <v>24.3462138661649</v>
      </c>
      <c r="D6" s="10" t="s">
        <v>126</v>
      </c>
      <c r="E6" s="12" t="s">
        <v>127</v>
      </c>
      <c r="F6" s="12"/>
    </row>
    <row r="7" customFormat="false" ht="15" hidden="false" customHeight="false" outlineLevel="0" collapsed="false">
      <c r="A7" s="10" t="s">
        <v>128</v>
      </c>
      <c r="B7" s="10"/>
      <c r="C7" s="15" t="n">
        <f aca="false">COS(RADIANS(Loads!$C$6))</f>
        <v>0.911071059253296</v>
      </c>
      <c r="D7" s="10"/>
      <c r="E7" s="12"/>
      <c r="F7" s="12"/>
    </row>
    <row r="8" customFormat="false" ht="15" hidden="false" customHeight="false" outlineLevel="0" collapsed="false">
      <c r="A8" s="10" t="s">
        <v>129</v>
      </c>
      <c r="B8" s="10"/>
      <c r="C8" s="15" t="n">
        <f aca="false">Inputs!$C$14/Inputs!$C$15</f>
        <v>0.452488687782805</v>
      </c>
      <c r="D8" s="10"/>
      <c r="E8" s="12"/>
      <c r="F8" s="12"/>
    </row>
    <row r="10" customFormat="false" ht="15" hidden="false" customHeight="false" outlineLevel="0" collapsed="false">
      <c r="A10" s="4" t="s">
        <v>130</v>
      </c>
      <c r="B10" s="9"/>
      <c r="C10" s="9"/>
      <c r="D10" s="9"/>
      <c r="E10" s="9"/>
      <c r="F10" s="9"/>
    </row>
    <row r="11" customFormat="false" ht="15" hidden="false" customHeight="false" outlineLevel="0" collapsed="false">
      <c r="A11" s="10" t="s">
        <v>131</v>
      </c>
      <c r="B11" s="10"/>
      <c r="C11" s="15" t="n">
        <f aca="false">Inputs!$C$9*Inputs!$C$16/1000/Loads!$C$7</f>
        <v>5.26852428386215</v>
      </c>
      <c r="D11" s="10" t="s">
        <v>76</v>
      </c>
      <c r="E11" s="12" t="s">
        <v>132</v>
      </c>
      <c r="F11" s="12"/>
    </row>
    <row r="12" customFormat="false" ht="15" hidden="false" customHeight="false" outlineLevel="0" collapsed="false">
      <c r="A12" s="10" t="s">
        <v>133</v>
      </c>
      <c r="B12" s="10"/>
      <c r="C12" s="15" t="n">
        <f aca="false">Inputs!$C$9*Inputs!$C$14/1000/2</f>
        <v>1.84615384615385</v>
      </c>
      <c r="D12" s="10" t="s">
        <v>76</v>
      </c>
      <c r="E12" s="12" t="s">
        <v>134</v>
      </c>
      <c r="F12" s="12"/>
    </row>
    <row r="13" customFormat="false" ht="15" hidden="false" customHeight="false" outlineLevel="0" collapsed="false">
      <c r="A13" s="10" t="s">
        <v>135</v>
      </c>
      <c r="B13" s="10" t="s">
        <v>136</v>
      </c>
      <c r="C13" s="15" t="n">
        <f aca="false">Loads!$C$11+Loads!$C$12+Inputs!$C$24</f>
        <v>8.114678130016</v>
      </c>
      <c r="D13" s="10" t="s">
        <v>76</v>
      </c>
      <c r="E13" s="12" t="s">
        <v>137</v>
      </c>
      <c r="F13" s="12"/>
    </row>
    <row r="14" customFormat="false" ht="15" hidden="false" customHeight="false" outlineLevel="0" collapsed="false">
      <c r="A14" s="10" t="s">
        <v>138</v>
      </c>
      <c r="B14" s="10" t="s">
        <v>139</v>
      </c>
      <c r="C14" s="15" t="n">
        <f aca="false">Inputs!$C$9*Inputs!$C$17/1000+Inputs!$C$24</f>
        <v>5.8</v>
      </c>
      <c r="D14" s="10" t="s">
        <v>76</v>
      </c>
      <c r="E14" s="12"/>
      <c r="F14" s="12"/>
    </row>
    <row r="16" customFormat="false" ht="15" hidden="false" customHeight="false" outlineLevel="0" collapsed="false">
      <c r="A16" s="4" t="s">
        <v>140</v>
      </c>
      <c r="B16" s="9"/>
      <c r="C16" s="9"/>
      <c r="D16" s="9"/>
      <c r="E16" s="9"/>
      <c r="F16" s="9"/>
    </row>
    <row r="17" customFormat="false" ht="15" hidden="false" customHeight="false" outlineLevel="0" collapsed="false">
      <c r="A17" s="10" t="s">
        <v>141</v>
      </c>
      <c r="B17" s="10"/>
      <c r="C17" s="15" t="n">
        <f aca="false">Inputs!$C$26*Loads!$C$13+Inputs!$C$27*Inputs!$C$25</f>
        <v>17.4176137560192</v>
      </c>
      <c r="D17" s="10" t="s">
        <v>76</v>
      </c>
      <c r="E17" s="12" t="s">
        <v>142</v>
      </c>
      <c r="F17" s="12"/>
    </row>
    <row r="18" customFormat="false" ht="15" hidden="false" customHeight="false" outlineLevel="0" collapsed="false">
      <c r="A18" s="10" t="s">
        <v>143</v>
      </c>
      <c r="B18" s="10"/>
      <c r="C18" s="15" t="n">
        <f aca="false">Inputs!$C$26*Loads!$C$14+Inputs!$C$27*Inputs!$C$25</f>
        <v>14.64</v>
      </c>
      <c r="D18" s="10" t="s">
        <v>76</v>
      </c>
      <c r="E18" s="12" t="s">
        <v>142</v>
      </c>
      <c r="F18" s="12"/>
    </row>
    <row r="20" customFormat="false" ht="15" hidden="false" customHeight="false" outlineLevel="0" collapsed="false">
      <c r="A20" s="4" t="s">
        <v>144</v>
      </c>
      <c r="B20" s="9"/>
      <c r="C20" s="9"/>
      <c r="D20" s="9"/>
      <c r="E20" s="9"/>
      <c r="F20" s="9"/>
    </row>
    <row r="21" customFormat="false" ht="15" hidden="false" customHeight="false" outlineLevel="0" collapsed="false">
      <c r="A21" s="10" t="s">
        <v>145</v>
      </c>
      <c r="B21" s="10"/>
      <c r="C21" s="16" t="n">
        <f aca="false">(Inputs!$C$13-1)*Inputs!$C$15</f>
        <v>4080</v>
      </c>
      <c r="D21" s="10" t="s">
        <v>47</v>
      </c>
      <c r="E21" s="12" t="s">
        <v>146</v>
      </c>
      <c r="F21" s="12"/>
    </row>
    <row r="22" customFormat="false" ht="15" hidden="false" customHeight="false" outlineLevel="0" collapsed="false">
      <c r="A22" s="10" t="s">
        <v>147</v>
      </c>
      <c r="B22" s="10" t="s">
        <v>148</v>
      </c>
      <c r="C22" s="16" t="n">
        <f aca="false">Loads!$C$21+Inputs!$C$18</f>
        <v>5540</v>
      </c>
      <c r="D22" s="10" t="s">
        <v>47</v>
      </c>
      <c r="E22" s="12" t="s">
        <v>149</v>
      </c>
      <c r="F22" s="12"/>
    </row>
    <row r="23" customFormat="false" ht="15" hidden="false" customHeight="false" outlineLevel="0" collapsed="false">
      <c r="A23" s="10" t="s">
        <v>150</v>
      </c>
      <c r="B23" s="10" t="s">
        <v>151</v>
      </c>
      <c r="C23" s="16" t="n">
        <f aca="false">Inputs!$C$18+Inputs!$C$13*Inputs!$C$15</f>
        <v>5880</v>
      </c>
      <c r="D23" s="10" t="s">
        <v>47</v>
      </c>
      <c r="E23" s="12" t="s">
        <v>152</v>
      </c>
      <c r="F23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5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153</v>
      </c>
    </row>
    <row r="3" customFormat="false" ht="15" hidden="false" customHeight="false" outlineLevel="0" collapsed="false">
      <c r="A3" s="8" t="s">
        <v>23</v>
      </c>
      <c r="B3" s="8" t="s">
        <v>24</v>
      </c>
      <c r="C3" s="8" t="s">
        <v>25</v>
      </c>
      <c r="D3" s="8" t="s">
        <v>26</v>
      </c>
      <c r="E3" s="8" t="s">
        <v>27</v>
      </c>
      <c r="F3" s="8" t="s">
        <v>28</v>
      </c>
    </row>
    <row r="5" customFormat="false" ht="15" hidden="false" customHeight="false" outlineLevel="0" collapsed="false">
      <c r="A5" s="4" t="s">
        <v>9</v>
      </c>
      <c r="B5" s="9"/>
      <c r="C5" s="9"/>
      <c r="D5" s="9"/>
      <c r="E5" s="9"/>
      <c r="F5" s="9"/>
    </row>
    <row r="6" customFormat="false" ht="26.85" hidden="false" customHeight="false" outlineLevel="0" collapsed="false">
      <c r="A6" s="10" t="s">
        <v>154</v>
      </c>
      <c r="B6" s="10"/>
      <c r="C6" s="17" t="s">
        <v>155</v>
      </c>
      <c r="D6" s="10"/>
      <c r="E6" s="12" t="s">
        <v>156</v>
      </c>
      <c r="F6" s="12"/>
    </row>
    <row r="7" customFormat="false" ht="39.55" hidden="false" customHeight="false" outlineLevel="0" collapsed="false">
      <c r="A7" s="10" t="s">
        <v>157</v>
      </c>
      <c r="B7" s="10"/>
      <c r="C7" s="17" t="s">
        <v>158</v>
      </c>
      <c r="D7" s="10"/>
      <c r="E7" s="12" t="s">
        <v>159</v>
      </c>
      <c r="F7" s="12" t="s">
        <v>160</v>
      </c>
    </row>
    <row r="8" customFormat="false" ht="39.55" hidden="false" customHeight="false" outlineLevel="0" collapsed="false">
      <c r="A8" s="10" t="s">
        <v>161</v>
      </c>
      <c r="B8" s="10"/>
      <c r="C8" s="17" t="s">
        <v>162</v>
      </c>
      <c r="D8" s="10"/>
      <c r="E8" s="12" t="s">
        <v>163</v>
      </c>
      <c r="F8" s="12"/>
    </row>
    <row r="10" customFormat="false" ht="15" hidden="false" customHeight="false" outlineLevel="0" collapsed="false">
      <c r="A10" s="4" t="s">
        <v>164</v>
      </c>
      <c r="B10" s="9"/>
      <c r="C10" s="9"/>
      <c r="D10" s="9"/>
      <c r="E10" s="9"/>
      <c r="F10" s="9"/>
    </row>
    <row r="11" customFormat="false" ht="15" hidden="false" customHeight="false" outlineLevel="0" collapsed="false">
      <c r="A11" s="10" t="s">
        <v>165</v>
      </c>
      <c r="B11" s="10" t="s">
        <v>166</v>
      </c>
      <c r="C11" s="15" t="n">
        <f aca="false">(Loads!$C$17*Loads!$C$21/1000*(Loads!$C$22-Loads!$C$21/2)/1000+Loads!$C$18*Inputs!$C$18/1000*(Inputs!$C$18/2)/1000)/(Loads!$C$22/1000)</f>
        <v>47.7124253494502</v>
      </c>
      <c r="D11" s="10" t="s">
        <v>167</v>
      </c>
      <c r="E11" s="12" t="s">
        <v>168</v>
      </c>
      <c r="F11" s="12"/>
    </row>
    <row r="12" customFormat="false" ht="15" hidden="false" customHeight="false" outlineLevel="0" collapsed="false">
      <c r="A12" s="10" t="s">
        <v>169</v>
      </c>
      <c r="B12" s="10" t="s">
        <v>170</v>
      </c>
      <c r="C12" s="15" t="n">
        <f aca="false">Frame!$C$11/Loads!$C$17</f>
        <v>2.73932043836726</v>
      </c>
      <c r="D12" s="10" t="s">
        <v>171</v>
      </c>
      <c r="E12" s="12" t="s">
        <v>172</v>
      </c>
      <c r="F12" s="12"/>
    </row>
    <row r="13" customFormat="false" ht="15" hidden="false" customHeight="false" outlineLevel="0" collapsed="false">
      <c r="A13" s="10" t="s">
        <v>173</v>
      </c>
      <c r="B13" s="10" t="s">
        <v>174</v>
      </c>
      <c r="C13" s="15" t="n">
        <f aca="false">Frame!$C$11*Frame!$C$12/2</f>
        <v>65.3498109619107</v>
      </c>
      <c r="D13" s="10" t="s">
        <v>175</v>
      </c>
      <c r="E13" s="12" t="s">
        <v>176</v>
      </c>
      <c r="F13" s="12"/>
    </row>
    <row r="14" customFormat="false" ht="15" hidden="false" customHeight="false" outlineLevel="0" collapsed="false">
      <c r="A14" s="10" t="s">
        <v>177</v>
      </c>
      <c r="B14" s="10"/>
      <c r="C14" s="18" t="n">
        <f aca="false">Inputs!$C$13*Inputs!$C$15+(Inputs!$C$16/(2*Loads!$C$7)-Inputs!$C$17/2)/Loads!$C$8</f>
        <v>4441.57163890282</v>
      </c>
      <c r="D14" s="10" t="s">
        <v>47</v>
      </c>
      <c r="E14" s="12" t="s">
        <v>178</v>
      </c>
      <c r="F14" s="12"/>
    </row>
    <row r="16" customFormat="false" ht="15" hidden="false" customHeight="false" outlineLevel="0" collapsed="false">
      <c r="A16" s="4" t="s">
        <v>179</v>
      </c>
      <c r="B16" s="9"/>
      <c r="C16" s="9"/>
      <c r="D16" s="9"/>
      <c r="E16" s="9"/>
      <c r="F16" s="9"/>
    </row>
    <row r="17" customFormat="false" ht="15" hidden="false" customHeight="false" outlineLevel="0" collapsed="false">
      <c r="A17" s="10" t="s">
        <v>180</v>
      </c>
      <c r="B17" s="10"/>
      <c r="C17" s="17" t="n">
        <v>51.2416835987544</v>
      </c>
      <c r="D17" s="10" t="s">
        <v>167</v>
      </c>
      <c r="E17" s="12" t="s">
        <v>181</v>
      </c>
      <c r="F17" s="12"/>
    </row>
    <row r="18" customFormat="false" ht="15" hidden="false" customHeight="false" outlineLevel="0" collapsed="false">
      <c r="A18" s="10" t="s">
        <v>182</v>
      </c>
      <c r="B18" s="10"/>
      <c r="C18" s="17" t="n">
        <v>31.5808867782654</v>
      </c>
      <c r="D18" s="10" t="s">
        <v>167</v>
      </c>
      <c r="E18" s="12"/>
      <c r="F18" s="12"/>
    </row>
    <row r="19" customFormat="false" ht="15" hidden="false" customHeight="false" outlineLevel="0" collapsed="false">
      <c r="A19" s="10" t="s">
        <v>183</v>
      </c>
      <c r="B19" s="10"/>
      <c r="C19" s="17" t="n">
        <v>130.919483534714</v>
      </c>
      <c r="D19" s="10" t="s">
        <v>167</v>
      </c>
      <c r="E19" s="12" t="s">
        <v>184</v>
      </c>
      <c r="F19" s="12"/>
    </row>
    <row r="20" customFormat="false" ht="15" hidden="false" customHeight="false" outlineLevel="0" collapsed="false">
      <c r="A20" s="10" t="s">
        <v>185</v>
      </c>
      <c r="B20" s="10"/>
      <c r="C20" s="17" t="n">
        <v>112.01943916373</v>
      </c>
      <c r="D20" s="10" t="s">
        <v>167</v>
      </c>
      <c r="E20" s="12" t="s">
        <v>186</v>
      </c>
      <c r="F20" s="12"/>
    </row>
    <row r="21" customFormat="false" ht="15" hidden="false" customHeight="false" outlineLevel="0" collapsed="false">
      <c r="A21" s="10" t="s">
        <v>187</v>
      </c>
      <c r="B21" s="10"/>
      <c r="C21" s="17" t="n">
        <v>177.264638551233</v>
      </c>
      <c r="D21" s="10" t="s">
        <v>167</v>
      </c>
      <c r="E21" s="12"/>
      <c r="F21" s="12"/>
    </row>
    <row r="22" customFormat="false" ht="15" hidden="false" customHeight="false" outlineLevel="0" collapsed="false">
      <c r="A22" s="10" t="s">
        <v>188</v>
      </c>
      <c r="B22" s="10"/>
      <c r="C22" s="17" t="n">
        <v>19.5440843284356</v>
      </c>
      <c r="D22" s="10" t="s">
        <v>167</v>
      </c>
      <c r="E22" s="12" t="s">
        <v>189</v>
      </c>
      <c r="F22" s="12"/>
    </row>
    <row r="23" customFormat="false" ht="15" hidden="false" customHeight="false" outlineLevel="0" collapsed="false">
      <c r="A23" s="10" t="s">
        <v>190</v>
      </c>
      <c r="B23" s="10"/>
      <c r="C23" s="17" t="n">
        <v>13.296</v>
      </c>
      <c r="D23" s="10" t="s">
        <v>167</v>
      </c>
      <c r="E23" s="12"/>
      <c r="F23" s="12"/>
    </row>
    <row r="24" customFormat="false" ht="15" hidden="false" customHeight="false" outlineLevel="0" collapsed="false">
      <c r="A24" s="10" t="s">
        <v>191</v>
      </c>
      <c r="B24" s="10"/>
      <c r="C24" s="17" t="n">
        <v>-19.5802756137505</v>
      </c>
      <c r="D24" s="10" t="s">
        <v>167</v>
      </c>
      <c r="E24" s="12" t="s">
        <v>192</v>
      </c>
      <c r="F24" s="12"/>
    </row>
    <row r="25" customFormat="false" ht="15" hidden="false" customHeight="false" outlineLevel="0" collapsed="false">
      <c r="A25" s="10" t="s">
        <v>193</v>
      </c>
      <c r="B25" s="10"/>
      <c r="C25" s="17" t="n">
        <v>65.3504637450896</v>
      </c>
      <c r="D25" s="10" t="s">
        <v>175</v>
      </c>
      <c r="E25" s="12" t="s">
        <v>194</v>
      </c>
      <c r="F25" s="12"/>
    </row>
    <row r="26" customFormat="false" ht="15" hidden="false" customHeight="false" outlineLevel="0" collapsed="false">
      <c r="A26" s="10" t="s">
        <v>195</v>
      </c>
      <c r="B26" s="10"/>
      <c r="C26" s="17" t="n">
        <v>40.2917048229815</v>
      </c>
      <c r="D26" s="10" t="s">
        <v>175</v>
      </c>
      <c r="E26" s="12" t="s">
        <v>196</v>
      </c>
      <c r="F26" s="12"/>
    </row>
    <row r="27" customFormat="false" ht="15" hidden="false" customHeight="false" outlineLevel="0" collapsed="false">
      <c r="A27" s="10" t="s">
        <v>197</v>
      </c>
      <c r="B27" s="10"/>
      <c r="C27" s="17" t="n">
        <v>-30.3329099022901</v>
      </c>
      <c r="D27" s="10" t="s">
        <v>175</v>
      </c>
      <c r="E27" s="12" t="s">
        <v>198</v>
      </c>
      <c r="F27" s="12"/>
    </row>
    <row r="28" customFormat="false" ht="15" hidden="false" customHeight="false" outlineLevel="0" collapsed="false">
      <c r="A28" s="10" t="s">
        <v>199</v>
      </c>
      <c r="B28" s="10"/>
      <c r="C28" s="17" t="n">
        <v>40.5675361974901</v>
      </c>
      <c r="D28" s="10" t="s">
        <v>167</v>
      </c>
      <c r="E28" s="12" t="s">
        <v>200</v>
      </c>
      <c r="F28" s="12"/>
    </row>
    <row r="29" customFormat="false" ht="15" hidden="false" customHeight="false" outlineLevel="0" collapsed="false">
      <c r="A29" s="10" t="s">
        <v>201</v>
      </c>
      <c r="B29" s="10"/>
      <c r="C29" s="17" t="n">
        <v>11.8001573669244</v>
      </c>
      <c r="D29" s="10" t="s">
        <v>167</v>
      </c>
      <c r="E29" s="12"/>
      <c r="F29" s="12"/>
    </row>
    <row r="31" customFormat="false" ht="15" hidden="false" customHeight="false" outlineLevel="0" collapsed="false">
      <c r="A31" s="4" t="s">
        <v>202</v>
      </c>
      <c r="B31" s="9"/>
      <c r="C31" s="9"/>
      <c r="D31" s="9"/>
      <c r="E31" s="9"/>
      <c r="F31" s="9"/>
    </row>
    <row r="32" customFormat="false" ht="15" hidden="false" customHeight="false" outlineLevel="0" collapsed="false">
      <c r="A32" s="10" t="s">
        <v>188</v>
      </c>
      <c r="B32" s="10"/>
      <c r="C32" s="17" t="n">
        <v>15.1539229731018</v>
      </c>
      <c r="D32" s="10" t="s">
        <v>167</v>
      </c>
      <c r="E32" s="12" t="s">
        <v>189</v>
      </c>
      <c r="F32" s="12"/>
    </row>
    <row r="33" customFormat="false" ht="15" hidden="false" customHeight="false" outlineLevel="0" collapsed="false">
      <c r="A33" s="10" t="s">
        <v>203</v>
      </c>
      <c r="B33" s="10"/>
      <c r="C33" s="17" t="n">
        <v>45.4274955456047</v>
      </c>
      <c r="D33" s="10" t="s">
        <v>167</v>
      </c>
      <c r="E33" s="12" t="s">
        <v>181</v>
      </c>
      <c r="F33" s="12"/>
    </row>
    <row r="34" customFormat="false" ht="15" hidden="false" customHeight="false" outlineLevel="0" collapsed="false">
      <c r="A34" s="10" t="s">
        <v>204</v>
      </c>
      <c r="B34" s="10"/>
      <c r="C34" s="17" t="n">
        <v>27.8829414156351</v>
      </c>
      <c r="D34" s="10" t="s">
        <v>167</v>
      </c>
      <c r="E34" s="12"/>
      <c r="F34" s="12"/>
    </row>
    <row r="35" customFormat="false" ht="15" hidden="false" customHeight="false" outlineLevel="0" collapsed="false">
      <c r="A35" s="10" t="s">
        <v>205</v>
      </c>
      <c r="B35" s="10"/>
      <c r="C35" s="17" t="n">
        <v>73.5635797648822</v>
      </c>
      <c r="D35" s="10" t="s">
        <v>175</v>
      </c>
      <c r="E35" s="12" t="s">
        <v>206</v>
      </c>
      <c r="F35" s="12"/>
    </row>
    <row r="36" customFormat="false" ht="15" hidden="false" customHeight="false" outlineLevel="0" collapsed="false">
      <c r="A36" s="10" t="s">
        <v>195</v>
      </c>
      <c r="B36" s="10"/>
      <c r="C36" s="17" t="n">
        <v>35.9870659281829</v>
      </c>
      <c r="D36" s="10" t="s">
        <v>175</v>
      </c>
      <c r="E36" s="12" t="s">
        <v>196</v>
      </c>
      <c r="F36" s="12"/>
    </row>
    <row r="37" customFormat="false" ht="15" hidden="false" customHeight="false" outlineLevel="0" collapsed="false">
      <c r="A37" s="10" t="s">
        <v>193</v>
      </c>
      <c r="B37" s="10"/>
      <c r="C37" s="17" t="n">
        <v>41.1349335859376</v>
      </c>
      <c r="D37" s="10" t="s">
        <v>175</v>
      </c>
      <c r="E37" s="12" t="s">
        <v>207</v>
      </c>
      <c r="F37" s="12"/>
    </row>
    <row r="38" customFormat="false" ht="15" hidden="false" customHeight="false" outlineLevel="0" collapsed="false">
      <c r="A38" s="10" t="s">
        <v>208</v>
      </c>
      <c r="B38" s="10"/>
      <c r="C38" s="17" t="n">
        <v>-17.1963108164576</v>
      </c>
      <c r="D38" s="10" t="s">
        <v>175</v>
      </c>
      <c r="E38" s="12"/>
      <c r="F38" s="12"/>
    </row>
    <row r="39" customFormat="false" ht="15" hidden="false" customHeight="false" outlineLevel="0" collapsed="false">
      <c r="A39" s="10" t="s">
        <v>209</v>
      </c>
      <c r="B39" s="10"/>
      <c r="C39" s="17" t="n">
        <v>52.8312770375787</v>
      </c>
      <c r="D39" s="10" t="s">
        <v>167</v>
      </c>
      <c r="E39" s="12" t="s">
        <v>210</v>
      </c>
      <c r="F39" s="12"/>
    </row>
    <row r="40" customFormat="false" ht="15" hidden="false" customHeight="false" outlineLevel="0" collapsed="false">
      <c r="A40" s="10" t="s">
        <v>211</v>
      </c>
      <c r="B40" s="10"/>
      <c r="C40" s="17" t="n">
        <v>155.463077017083</v>
      </c>
      <c r="D40" s="10" t="s">
        <v>167</v>
      </c>
      <c r="E40" s="12" t="s">
        <v>212</v>
      </c>
      <c r="F40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5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213</v>
      </c>
    </row>
    <row r="3" customFormat="false" ht="15" hidden="false" customHeight="false" outlineLevel="0" collapsed="false">
      <c r="A3" s="8" t="s">
        <v>23</v>
      </c>
      <c r="B3" s="8" t="s">
        <v>24</v>
      </c>
      <c r="C3" s="8" t="s">
        <v>25</v>
      </c>
      <c r="D3" s="8" t="s">
        <v>26</v>
      </c>
      <c r="E3" s="8" t="s">
        <v>27</v>
      </c>
      <c r="F3" s="8" t="s">
        <v>28</v>
      </c>
    </row>
    <row r="4" customFormat="false" ht="15" hidden="false" customHeight="false" outlineLevel="0" collapsed="false">
      <c r="A4" s="10" t="s">
        <v>214</v>
      </c>
      <c r="B4" s="10" t="s">
        <v>215</v>
      </c>
      <c r="C4" s="18" t="n">
        <f aca="false">Inputs!$C$16-Inputs!$C$20-Inputs!$C$31/2</f>
        <v>174</v>
      </c>
      <c r="D4" s="10" t="s">
        <v>47</v>
      </c>
      <c r="E4" s="12" t="s">
        <v>216</v>
      </c>
      <c r="F4" s="12"/>
    </row>
    <row r="5" customFormat="false" ht="15" hidden="false" customHeight="false" outlineLevel="0" collapsed="false">
      <c r="A5" s="10" t="s">
        <v>217</v>
      </c>
      <c r="B5" s="10"/>
      <c r="C5" s="15" t="n">
        <f aca="false">IF(Inputs!$C$6&lt;=28,0.85,MAX(0.65,0.85-0.05*(Inputs!$C$6-28)/7))</f>
        <v>0.85</v>
      </c>
      <c r="D5" s="10"/>
      <c r="E5" s="12" t="s">
        <v>218</v>
      </c>
      <c r="F5" s="12"/>
    </row>
    <row r="7" customFormat="false" ht="15" hidden="false" customHeight="false" outlineLevel="0" collapsed="false">
      <c r="A7" s="4" t="s">
        <v>219</v>
      </c>
      <c r="B7" s="9"/>
      <c r="C7" s="9"/>
      <c r="D7" s="9"/>
      <c r="E7" s="9"/>
      <c r="F7" s="9"/>
    </row>
    <row r="8" customFormat="false" ht="15" hidden="false" customHeight="false" outlineLevel="0" collapsed="false">
      <c r="A8" s="10" t="s">
        <v>220</v>
      </c>
      <c r="B8" s="10" t="s">
        <v>221</v>
      </c>
      <c r="C8" s="18" t="n">
        <f aca="false">PI()*Inputs!$C$31^2/4*1000/Inputs!$C$32</f>
        <v>753.98223686155</v>
      </c>
      <c r="D8" s="10" t="s">
        <v>222</v>
      </c>
      <c r="E8" s="12"/>
      <c r="F8" s="12"/>
    </row>
    <row r="9" customFormat="false" ht="15" hidden="false" customHeight="false" outlineLevel="0" collapsed="false">
      <c r="A9" s="10" t="s">
        <v>223</v>
      </c>
      <c r="B9" s="10" t="s">
        <v>224</v>
      </c>
      <c r="C9" s="15" t="n">
        <f aca="false">Sections!$C$8*Inputs!$C$7/(0.85*Inputs!$C$6*1000)</f>
        <v>13.3055688857921</v>
      </c>
      <c r="D9" s="10" t="s">
        <v>47</v>
      </c>
      <c r="E9" s="12" t="s">
        <v>225</v>
      </c>
      <c r="F9" s="12"/>
    </row>
    <row r="10" customFormat="false" ht="15" hidden="false" customHeight="false" outlineLevel="0" collapsed="false">
      <c r="A10" s="10" t="s">
        <v>226</v>
      </c>
      <c r="B10" s="10" t="s">
        <v>227</v>
      </c>
      <c r="C10" s="19" t="n">
        <f aca="false">0.003*(Sections!$C$4-Sections!$C$9/Sections!$C$5)/(Sections!$C$9/Sections!$C$5)</f>
        <v>0.0303469394513294</v>
      </c>
      <c r="D10" s="10"/>
      <c r="E10" s="12" t="s">
        <v>228</v>
      </c>
      <c r="F10" s="12"/>
    </row>
    <row r="11" customFormat="false" ht="15" hidden="false" customHeight="false" outlineLevel="0" collapsed="false">
      <c r="A11" s="10" t="s">
        <v>229</v>
      </c>
      <c r="B11" s="10"/>
      <c r="C11" s="15" t="n">
        <f aca="false">0.65+0.25*MIN(1,MAX(0,(Sections!$C$10-Inputs!$C$7/Inputs!$C$8)/0.003))</f>
        <v>0.9</v>
      </c>
      <c r="D11" s="10"/>
      <c r="E11" s="12" t="s">
        <v>230</v>
      </c>
      <c r="F11" s="12"/>
    </row>
    <row r="12" customFormat="false" ht="15" hidden="false" customHeight="false" outlineLevel="0" collapsed="false">
      <c r="A12" s="10" t="s">
        <v>231</v>
      </c>
      <c r="B12" s="10"/>
      <c r="C12" s="15" t="n">
        <f aca="false">Sections!$C$11*Sections!$C$8*Inputs!$C$7*(Sections!$C$4-Sections!$C$9/2)/1000000</f>
        <v>47.0134860823576</v>
      </c>
      <c r="D12" s="10" t="s">
        <v>175</v>
      </c>
      <c r="E12" s="12" t="s">
        <v>232</v>
      </c>
      <c r="F12" s="12"/>
    </row>
    <row r="14" customFormat="false" ht="15" hidden="false" customHeight="false" outlineLevel="0" collapsed="false">
      <c r="A14" s="4" t="s">
        <v>233</v>
      </c>
      <c r="B14" s="9"/>
      <c r="C14" s="9"/>
      <c r="D14" s="9"/>
      <c r="E14" s="9"/>
      <c r="F14" s="9"/>
    </row>
    <row r="15" customFormat="false" ht="15" hidden="false" customHeight="false" outlineLevel="0" collapsed="false">
      <c r="A15" s="10" t="s">
        <v>220</v>
      </c>
      <c r="B15" s="10" t="s">
        <v>221</v>
      </c>
      <c r="C15" s="18" t="n">
        <f aca="false">PI()*Inputs!$C$33^2/4*1000/Inputs!$C$34</f>
        <v>376.991118430775</v>
      </c>
      <c r="D15" s="10" t="s">
        <v>222</v>
      </c>
      <c r="E15" s="12"/>
      <c r="F15" s="12"/>
    </row>
    <row r="16" customFormat="false" ht="15" hidden="false" customHeight="false" outlineLevel="0" collapsed="false">
      <c r="A16" s="10" t="s">
        <v>223</v>
      </c>
      <c r="B16" s="10" t="s">
        <v>224</v>
      </c>
      <c r="C16" s="15" t="n">
        <f aca="false">Sections!$C$15*Inputs!$C$7/(0.85*Inputs!$C$6*1000)</f>
        <v>6.65278444289603</v>
      </c>
      <c r="D16" s="10" t="s">
        <v>47</v>
      </c>
      <c r="E16" s="12" t="s">
        <v>225</v>
      </c>
      <c r="F16" s="12"/>
    </row>
    <row r="17" customFormat="false" ht="15" hidden="false" customHeight="false" outlineLevel="0" collapsed="false">
      <c r="A17" s="10" t="s">
        <v>226</v>
      </c>
      <c r="B17" s="10" t="s">
        <v>227</v>
      </c>
      <c r="C17" s="19" t="n">
        <f aca="false">0.003*(Sections!$C$4-Sections!$C$16/Sections!$C$5)/(Sections!$C$16/Sections!$C$5)</f>
        <v>0.0636938789026588</v>
      </c>
      <c r="D17" s="10"/>
      <c r="E17" s="12" t="s">
        <v>228</v>
      </c>
      <c r="F17" s="12"/>
    </row>
    <row r="18" customFormat="false" ht="15" hidden="false" customHeight="false" outlineLevel="0" collapsed="false">
      <c r="A18" s="10" t="s">
        <v>229</v>
      </c>
      <c r="B18" s="10"/>
      <c r="C18" s="15" t="n">
        <f aca="false">0.65+0.25*MIN(1,MAX(0,(Sections!$C$17-Inputs!$C$7/Inputs!$C$8)/0.003))</f>
        <v>0.9</v>
      </c>
      <c r="D18" s="10"/>
      <c r="E18" s="12" t="s">
        <v>230</v>
      </c>
      <c r="F18" s="12"/>
    </row>
    <row r="19" customFormat="false" ht="15" hidden="false" customHeight="false" outlineLevel="0" collapsed="false">
      <c r="A19" s="10" t="s">
        <v>231</v>
      </c>
      <c r="B19" s="10"/>
      <c r="C19" s="15" t="n">
        <f aca="false">Sections!$C$18*Sections!$C$15*Inputs!$C$7*(Sections!$C$4-Sections!$C$16/2)/1000000</f>
        <v>23.9739910138651</v>
      </c>
      <c r="D19" s="10" t="s">
        <v>175</v>
      </c>
      <c r="E19" s="12" t="s">
        <v>232</v>
      </c>
      <c r="F19" s="12"/>
    </row>
    <row r="21" customFormat="false" ht="15" hidden="false" customHeight="false" outlineLevel="0" collapsed="false">
      <c r="A21" s="4" t="s">
        <v>234</v>
      </c>
      <c r="B21" s="9"/>
      <c r="C21" s="9"/>
      <c r="D21" s="9"/>
      <c r="E21" s="9"/>
      <c r="F21" s="9"/>
    </row>
    <row r="22" customFormat="false" ht="15" hidden="false" customHeight="false" outlineLevel="0" collapsed="false">
      <c r="A22" s="10" t="s">
        <v>220</v>
      </c>
      <c r="B22" s="10" t="s">
        <v>221</v>
      </c>
      <c r="C22" s="18" t="n">
        <f aca="false">PI()*Inputs!$C$35^2/4*1000/Inputs!$C$36</f>
        <v>376.991118430775</v>
      </c>
      <c r="D22" s="10" t="s">
        <v>222</v>
      </c>
      <c r="E22" s="12"/>
      <c r="F22" s="12"/>
    </row>
    <row r="23" customFormat="false" ht="15" hidden="false" customHeight="false" outlineLevel="0" collapsed="false">
      <c r="A23" s="10" t="s">
        <v>223</v>
      </c>
      <c r="B23" s="10" t="s">
        <v>224</v>
      </c>
      <c r="C23" s="15" t="n">
        <f aca="false">Sections!$C$22*Inputs!$C$7/(0.85*Inputs!$C$6*1000)</f>
        <v>6.65278444289603</v>
      </c>
      <c r="D23" s="10" t="s">
        <v>47</v>
      </c>
      <c r="E23" s="12" t="s">
        <v>225</v>
      </c>
      <c r="F23" s="12"/>
    </row>
    <row r="24" customFormat="false" ht="15" hidden="false" customHeight="false" outlineLevel="0" collapsed="false">
      <c r="A24" s="10" t="s">
        <v>226</v>
      </c>
      <c r="B24" s="10" t="s">
        <v>227</v>
      </c>
      <c r="C24" s="19" t="n">
        <f aca="false">0.003*(Sections!$C$4-Sections!$C$23/Sections!$C$5)/(Sections!$C$23/Sections!$C$5)</f>
        <v>0.0636938789026588</v>
      </c>
      <c r="D24" s="10"/>
      <c r="E24" s="12" t="s">
        <v>228</v>
      </c>
      <c r="F24" s="12"/>
    </row>
    <row r="25" customFormat="false" ht="15" hidden="false" customHeight="false" outlineLevel="0" collapsed="false">
      <c r="A25" s="10" t="s">
        <v>229</v>
      </c>
      <c r="B25" s="10"/>
      <c r="C25" s="15" t="n">
        <f aca="false">0.65+0.25*MIN(1,MAX(0,(Sections!$C$24-Inputs!$C$7/Inputs!$C$8)/0.003))</f>
        <v>0.9</v>
      </c>
      <c r="D25" s="10"/>
      <c r="E25" s="12" t="s">
        <v>230</v>
      </c>
      <c r="F25" s="12"/>
    </row>
    <row r="26" customFormat="false" ht="15" hidden="false" customHeight="false" outlineLevel="0" collapsed="false">
      <c r="A26" s="10" t="s">
        <v>231</v>
      </c>
      <c r="B26" s="10"/>
      <c r="C26" s="15" t="n">
        <f aca="false">Sections!$C$25*Sections!$C$22*Inputs!$C$7*(Sections!$C$4-Sections!$C$23/2)/1000000</f>
        <v>23.9739910138651</v>
      </c>
      <c r="D26" s="10" t="s">
        <v>175</v>
      </c>
      <c r="E26" s="12" t="s">
        <v>232</v>
      </c>
      <c r="F26" s="12"/>
    </row>
    <row r="28" customFormat="false" ht="15" hidden="false" customHeight="false" outlineLevel="0" collapsed="false">
      <c r="A28" s="4" t="s">
        <v>235</v>
      </c>
      <c r="B28" s="9"/>
      <c r="C28" s="9"/>
      <c r="D28" s="9"/>
      <c r="E28" s="9"/>
      <c r="F28" s="9"/>
    </row>
    <row r="29" customFormat="false" ht="15" hidden="false" customHeight="false" outlineLevel="0" collapsed="false">
      <c r="A29" s="10" t="s">
        <v>220</v>
      </c>
      <c r="B29" s="10" t="s">
        <v>221</v>
      </c>
      <c r="C29" s="18" t="n">
        <f aca="false">PI()*Inputs!$C$37^2/4*1000/Inputs!$C$38</f>
        <v>565.486677646163</v>
      </c>
      <c r="D29" s="10" t="s">
        <v>222</v>
      </c>
      <c r="E29" s="12"/>
      <c r="F29" s="12"/>
    </row>
    <row r="30" customFormat="false" ht="15" hidden="false" customHeight="false" outlineLevel="0" collapsed="false">
      <c r="A30" s="10" t="s">
        <v>223</v>
      </c>
      <c r="B30" s="10" t="s">
        <v>224</v>
      </c>
      <c r="C30" s="15" t="n">
        <f aca="false">Sections!$C$29*Inputs!$C$7/(0.85*Inputs!$C$6*1000)</f>
        <v>9.97917666434405</v>
      </c>
      <c r="D30" s="10" t="s">
        <v>47</v>
      </c>
      <c r="E30" s="12" t="s">
        <v>225</v>
      </c>
      <c r="F30" s="12"/>
    </row>
    <row r="31" customFormat="false" ht="15" hidden="false" customHeight="false" outlineLevel="0" collapsed="false">
      <c r="A31" s="10" t="s">
        <v>226</v>
      </c>
      <c r="B31" s="10" t="s">
        <v>227</v>
      </c>
      <c r="C31" s="19" t="n">
        <f aca="false">0.003*(Sections!$C$4-Sections!$C$30/Sections!$C$5)/(Sections!$C$30/Sections!$C$5)</f>
        <v>0.0414625859351058</v>
      </c>
      <c r="D31" s="10"/>
      <c r="E31" s="12" t="s">
        <v>228</v>
      </c>
      <c r="F31" s="12"/>
    </row>
    <row r="32" customFormat="false" ht="15" hidden="false" customHeight="false" outlineLevel="0" collapsed="false">
      <c r="A32" s="10" t="s">
        <v>229</v>
      </c>
      <c r="B32" s="10"/>
      <c r="C32" s="15" t="n">
        <f aca="false">0.65+0.25*MIN(1,MAX(0,(Sections!$C$31-Inputs!$C$7/Inputs!$C$8)/0.003))</f>
        <v>0.9</v>
      </c>
      <c r="D32" s="10"/>
      <c r="E32" s="12" t="s">
        <v>230</v>
      </c>
      <c r="F32" s="12"/>
    </row>
    <row r="33" customFormat="false" ht="15" hidden="false" customHeight="false" outlineLevel="0" collapsed="false">
      <c r="A33" s="10" t="s">
        <v>231</v>
      </c>
      <c r="B33" s="10"/>
      <c r="C33" s="15" t="n">
        <f aca="false">Sections!$C$32*Sections!$C$29*Inputs!$C$7*(Sections!$C$4-Sections!$C$30/2)/1000000</f>
        <v>35.6105505412829</v>
      </c>
      <c r="D33" s="10" t="s">
        <v>175</v>
      </c>
      <c r="E33" s="12" t="s">
        <v>232</v>
      </c>
      <c r="F33" s="12"/>
    </row>
    <row r="35" customFormat="false" ht="15" hidden="false" customHeight="false" outlineLevel="0" collapsed="false">
      <c r="A35" s="4" t="s">
        <v>236</v>
      </c>
      <c r="B35" s="9"/>
      <c r="C35" s="9"/>
      <c r="D35" s="9"/>
      <c r="E35" s="9"/>
      <c r="F35" s="9"/>
    </row>
    <row r="36" customFormat="false" ht="15" hidden="false" customHeight="false" outlineLevel="0" collapsed="false">
      <c r="A36" s="10" t="s">
        <v>237</v>
      </c>
      <c r="B36" s="10"/>
      <c r="C36" s="15" t="n">
        <f aca="false">MIN(1,SQRT(2/(1+0.004*Sections!$C$4)))</f>
        <v>1</v>
      </c>
      <c r="D36" s="10"/>
      <c r="E36" s="12" t="s">
        <v>238</v>
      </c>
      <c r="F36" s="12"/>
    </row>
    <row r="37" customFormat="false" ht="15" hidden="false" customHeight="false" outlineLevel="0" collapsed="false">
      <c r="A37" s="10" t="s">
        <v>239</v>
      </c>
      <c r="B37" s="10"/>
      <c r="C37" s="15" t="n">
        <f aca="false">MIN(SQRT(Inputs!$C$6),8.3)</f>
        <v>5.25357021462548</v>
      </c>
      <c r="D37" s="10" t="s">
        <v>32</v>
      </c>
      <c r="E37" s="12" t="s">
        <v>240</v>
      </c>
      <c r="F37" s="12"/>
    </row>
    <row r="38" customFormat="false" ht="15" hidden="false" customHeight="false" outlineLevel="0" collapsed="false">
      <c r="A38" s="10" t="s">
        <v>241</v>
      </c>
      <c r="B38" s="10"/>
      <c r="C38" s="15" t="n">
        <f aca="false">0.75*0.66*Sections!$C$36*(Sections!$C$8/(1000*Sections!$C$4))^(1/3)*Sections!$C$37*Sections!$C$4</f>
        <v>73.7699705853002</v>
      </c>
      <c r="D38" s="10" t="s">
        <v>167</v>
      </c>
      <c r="E38" s="12" t="s">
        <v>242</v>
      </c>
      <c r="F38" s="12"/>
    </row>
    <row r="39" customFormat="false" ht="15" hidden="false" customHeight="false" outlineLevel="0" collapsed="false">
      <c r="A39" s="10" t="s">
        <v>243</v>
      </c>
      <c r="B39" s="10"/>
      <c r="C39" s="15" t="n">
        <f aca="false">0.75*0.66*Sections!$C$36*(Sections!$C$29/(1000*Sections!$C$4))^(1/3)*Sections!$C$37*Sections!$C$4</f>
        <v>67.0244663415851</v>
      </c>
      <c r="D39" s="10" t="s">
        <v>167</v>
      </c>
      <c r="E39" s="12" t="s">
        <v>244</v>
      </c>
      <c r="F39" s="12"/>
    </row>
    <row r="40" customFormat="false" ht="15" hidden="false" customHeight="false" outlineLevel="0" collapsed="false">
      <c r="A40" s="10" t="s">
        <v>245</v>
      </c>
      <c r="B40" s="10"/>
      <c r="C40" s="15" t="n">
        <f aca="false">0.75*MAX(0,0.66*Sections!$C$36*(Sections!$C$22/(1000*Sections!$C$4))^(1/3)*Sections!$C$37-Frame!$C$40*1000/(6*1000*Inputs!$C$16))*Sections!$C$4</f>
        <v>41.6446548297766</v>
      </c>
      <c r="D40" s="10" t="s">
        <v>167</v>
      </c>
      <c r="E40" s="12" t="s">
        <v>246</v>
      </c>
      <c r="F40" s="12"/>
    </row>
    <row r="42" customFormat="false" ht="15" hidden="false" customHeight="false" outlineLevel="0" collapsed="false">
      <c r="A42" s="4" t="s">
        <v>247</v>
      </c>
      <c r="B42" s="9"/>
      <c r="C42" s="9"/>
      <c r="D42" s="9"/>
      <c r="E42" s="9"/>
      <c r="F42" s="9"/>
    </row>
    <row r="43" customFormat="false" ht="15" hidden="false" customHeight="false" outlineLevel="0" collapsed="false">
      <c r="A43" s="10" t="s">
        <v>248</v>
      </c>
      <c r="B43" s="10"/>
      <c r="C43" s="19" t="n">
        <f aca="false">IF(Inputs!$C$7&lt;420,0.002,MAX(0.0018*420/Inputs!$C$7,0.0014))</f>
        <v>0.002</v>
      </c>
      <c r="D43" s="10"/>
      <c r="E43" s="12" t="s">
        <v>249</v>
      </c>
      <c r="F43" s="12"/>
    </row>
    <row r="44" customFormat="false" ht="15" hidden="false" customHeight="false" outlineLevel="0" collapsed="false">
      <c r="A44" s="10" t="s">
        <v>250</v>
      </c>
      <c r="B44" s="10"/>
      <c r="C44" s="15" t="n">
        <f aca="false">Sections!$C$43*1000*Inputs!$C$16</f>
        <v>400</v>
      </c>
      <c r="D44" s="10" t="s">
        <v>222</v>
      </c>
      <c r="E44" s="12"/>
      <c r="F44" s="12"/>
    </row>
    <row r="45" customFormat="false" ht="15" hidden="false" customHeight="false" outlineLevel="0" collapsed="false">
      <c r="A45" s="10" t="s">
        <v>251</v>
      </c>
      <c r="B45" s="10"/>
      <c r="C45" s="15" t="n">
        <f aca="false">MIN(3*Inputs!$C$16,450)</f>
        <v>450</v>
      </c>
      <c r="D45" s="10" t="s">
        <v>47</v>
      </c>
      <c r="E45" s="12" t="s">
        <v>252</v>
      </c>
      <c r="F45" s="12"/>
    </row>
    <row r="46" customFormat="false" ht="15" hidden="false" customHeight="false" outlineLevel="0" collapsed="false">
      <c r="A46" s="10" t="s">
        <v>253</v>
      </c>
      <c r="B46" s="10"/>
      <c r="C46" s="15" t="n">
        <f aca="false">2/3*Inputs!$C$7</f>
        <v>276</v>
      </c>
      <c r="D46" s="10" t="s">
        <v>32</v>
      </c>
      <c r="E46" s="12" t="s">
        <v>254</v>
      </c>
      <c r="F46" s="12"/>
    </row>
    <row r="47" customFormat="false" ht="15" hidden="false" customHeight="false" outlineLevel="0" collapsed="false">
      <c r="A47" s="10" t="s">
        <v>255</v>
      </c>
      <c r="B47" s="10"/>
      <c r="C47" s="15" t="n">
        <f aca="false">MIN(380*280/Sections!$C$46-2.5*Inputs!$C$20,300*280/Sections!$C$46)</f>
        <v>304.347826086957</v>
      </c>
      <c r="D47" s="10" t="s">
        <v>47</v>
      </c>
      <c r="E47" s="12" t="s">
        <v>256</v>
      </c>
      <c r="F47" s="12"/>
    </row>
    <row r="49" customFormat="false" ht="15" hidden="false" customHeight="false" outlineLevel="0" collapsed="false">
      <c r="A49" s="4" t="s">
        <v>257</v>
      </c>
      <c r="B49" s="9"/>
      <c r="C49" s="9"/>
      <c r="D49" s="9"/>
      <c r="E49" s="9"/>
      <c r="F49" s="9"/>
    </row>
    <row r="50" customFormat="false" ht="15" hidden="false" customHeight="false" outlineLevel="0" collapsed="false">
      <c r="A50" s="10" t="s">
        <v>258</v>
      </c>
      <c r="B50" s="10" t="s">
        <v>259</v>
      </c>
      <c r="C50" s="18" t="n">
        <f aca="false">MAX(300,Inputs!$C$7*0.8/(1.1*Sections!$C$37*MIN(2.5,MIN(Inputs!$C$20+Inputs!$C$31/2,Inputs!$C$32/2)/Inputs!$C$31))*Inputs!$C$31)</f>
        <v>317.418508072476</v>
      </c>
      <c r="D50" s="10" t="s">
        <v>47</v>
      </c>
      <c r="E50" s="12" t="s">
        <v>260</v>
      </c>
      <c r="F50" s="12"/>
    </row>
    <row r="51" customFormat="false" ht="15" hidden="false" customHeight="false" outlineLevel="0" collapsed="false">
      <c r="A51" s="10" t="s">
        <v>261</v>
      </c>
      <c r="B51" s="10"/>
      <c r="C51" s="18" t="n">
        <f aca="false">MAX(300,Inputs!$C$7*1.3*0.8/(1.1*Sections!$C$37*MIN(2.5,MIN(Inputs!$C$20+Inputs!$C$35/2,Inputs!$C$36/2)/Inputs!$C$35))*Inputs!$C$35)</f>
        <v>412.64406049422</v>
      </c>
      <c r="D51" s="10" t="s">
        <v>47</v>
      </c>
      <c r="E51" s="12" t="s">
        <v>262</v>
      </c>
      <c r="F51" s="12"/>
    </row>
    <row r="52" customFormat="false" ht="15" hidden="false" customHeight="false" outlineLevel="0" collapsed="false">
      <c r="A52" s="10" t="s">
        <v>263</v>
      </c>
      <c r="B52" s="10"/>
      <c r="C52" s="15" t="n">
        <f aca="false">IF(Inputs!$C$6&lt;40,Inputs!$C$6/105+0.6,1)</f>
        <v>0.862857142857143</v>
      </c>
      <c r="D52" s="10"/>
      <c r="E52" s="12" t="s">
        <v>264</v>
      </c>
      <c r="F52" s="12"/>
    </row>
    <row r="53" customFormat="false" ht="15" hidden="false" customHeight="false" outlineLevel="0" collapsed="false">
      <c r="A53" s="10" t="s">
        <v>265</v>
      </c>
      <c r="B53" s="10" t="s">
        <v>266</v>
      </c>
      <c r="C53" s="18" t="n">
        <f aca="false">MAX(Inputs!$C$7*1.6*1.25*Sections!$C$52/(23*Sections!$C$37)*Inputs!$C$31^1.5,8*Inputs!$C$31,150)</f>
        <v>245.786897374594</v>
      </c>
      <c r="D53" s="10" t="s">
        <v>47</v>
      </c>
      <c r="E53" s="12" t="s">
        <v>267</v>
      </c>
      <c r="F53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5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268</v>
      </c>
    </row>
    <row r="3" customFormat="false" ht="15" hidden="false" customHeight="false" outlineLevel="0" collapsed="false">
      <c r="A3" s="8" t="s">
        <v>23</v>
      </c>
      <c r="B3" s="8" t="s">
        <v>24</v>
      </c>
      <c r="C3" s="8" t="s">
        <v>25</v>
      </c>
      <c r="D3" s="8" t="s">
        <v>26</v>
      </c>
      <c r="E3" s="8" t="s">
        <v>27</v>
      </c>
      <c r="F3" s="8" t="s">
        <v>28</v>
      </c>
    </row>
    <row r="5" customFormat="false" ht="15" hidden="false" customHeight="false" outlineLevel="0" collapsed="false">
      <c r="A5" s="4" t="s">
        <v>269</v>
      </c>
      <c r="B5" s="9"/>
      <c r="C5" s="9"/>
      <c r="D5" s="9"/>
      <c r="E5" s="9"/>
      <c r="F5" s="9"/>
    </row>
    <row r="6" customFormat="false" ht="15" hidden="false" customHeight="false" outlineLevel="0" collapsed="false">
      <c r="A6" s="10" t="s">
        <v>270</v>
      </c>
      <c r="B6" s="10"/>
      <c r="C6" s="15" t="n">
        <f aca="false">0.4+Inputs!$C$7/700</f>
        <v>0.991428571428571</v>
      </c>
      <c r="D6" s="10"/>
      <c r="E6" s="12" t="s">
        <v>271</v>
      </c>
      <c r="F6" s="12"/>
    </row>
    <row r="7" customFormat="false" ht="15" hidden="false" customHeight="false" outlineLevel="0" collapsed="false">
      <c r="A7" s="10" t="s">
        <v>272</v>
      </c>
      <c r="B7" s="10"/>
      <c r="C7" s="20" t="n">
        <v>5973.53836902904</v>
      </c>
      <c r="D7" s="10" t="s">
        <v>47</v>
      </c>
      <c r="E7" s="12" t="s">
        <v>273</v>
      </c>
      <c r="F7" s="12"/>
    </row>
    <row r="8" customFormat="false" ht="15" hidden="false" customHeight="false" outlineLevel="0" collapsed="false">
      <c r="A8" s="10" t="s">
        <v>274</v>
      </c>
      <c r="B8" s="10"/>
      <c r="C8" s="18" t="n">
        <f aca="false">Serviceability!$C$7/20*Serviceability!$C$6</f>
        <v>296.116830579011</v>
      </c>
      <c r="D8" s="10" t="s">
        <v>47</v>
      </c>
      <c r="E8" s="12"/>
      <c r="F8" s="12"/>
    </row>
    <row r="9" customFormat="false" ht="15" hidden="false" customHeight="false" outlineLevel="0" collapsed="false">
      <c r="A9" s="10" t="s">
        <v>275</v>
      </c>
      <c r="B9" s="10"/>
      <c r="C9" s="20" t="n">
        <v>6309.32718708375</v>
      </c>
      <c r="D9" s="10" t="s">
        <v>47</v>
      </c>
      <c r="E9" s="12"/>
      <c r="F9" s="12"/>
    </row>
    <row r="10" customFormat="false" ht="15" hidden="false" customHeight="false" outlineLevel="0" collapsed="false">
      <c r="A10" s="10" t="s">
        <v>276</v>
      </c>
      <c r="B10" s="10"/>
      <c r="C10" s="18" t="n">
        <f aca="false">Serviceability!$C$9/24*Serviceability!$C$6</f>
        <v>260.635301656912</v>
      </c>
      <c r="D10" s="10" t="s">
        <v>47</v>
      </c>
      <c r="E10" s="12" t="s">
        <v>277</v>
      </c>
      <c r="F10" s="12"/>
    </row>
    <row r="12" customFormat="false" ht="15" hidden="false" customHeight="false" outlineLevel="0" collapsed="false">
      <c r="A12" s="4" t="s">
        <v>278</v>
      </c>
      <c r="B12" s="9"/>
      <c r="C12" s="9"/>
      <c r="D12" s="9"/>
      <c r="E12" s="9"/>
      <c r="F12" s="9"/>
    </row>
    <row r="13" customFormat="false" ht="15" hidden="false" customHeight="false" outlineLevel="0" collapsed="false">
      <c r="A13" s="10" t="s">
        <v>279</v>
      </c>
      <c r="B13" s="10"/>
      <c r="C13" s="16" t="n">
        <f aca="false">4700*SQRT(Inputs!$C$6)</f>
        <v>24691.7800087398</v>
      </c>
      <c r="D13" s="10" t="s">
        <v>32</v>
      </c>
      <c r="E13" s="12" t="s">
        <v>280</v>
      </c>
      <c r="F13" s="12"/>
    </row>
    <row r="14" customFormat="false" ht="15" hidden="false" customHeight="false" outlineLevel="0" collapsed="false">
      <c r="A14" s="10" t="s">
        <v>281</v>
      </c>
      <c r="B14" s="10"/>
      <c r="C14" s="15" t="n">
        <f aca="false">Inputs!$C$8/Serviceability!$C$13</f>
        <v>8.09986157049873</v>
      </c>
      <c r="D14" s="10"/>
      <c r="E14" s="12"/>
      <c r="F14" s="12"/>
    </row>
    <row r="15" customFormat="false" ht="15" hidden="false" customHeight="false" outlineLevel="0" collapsed="false">
      <c r="A15" s="10" t="s">
        <v>282</v>
      </c>
      <c r="B15" s="10"/>
      <c r="C15" s="21" t="n">
        <f aca="false">1000*Inputs!$C$16^3/12</f>
        <v>666666666.666667</v>
      </c>
      <c r="D15" s="10" t="s">
        <v>283</v>
      </c>
      <c r="E15" s="12"/>
      <c r="F15" s="12"/>
    </row>
    <row r="16" customFormat="false" ht="15" hidden="false" customHeight="false" outlineLevel="0" collapsed="false">
      <c r="A16" s="10" t="s">
        <v>284</v>
      </c>
      <c r="B16" s="10"/>
      <c r="C16" s="13" t="n">
        <f aca="false">(-Serviceability!$C$14*Sections!$C$8+SQRT((Serviceability!$C$14*Sections!$C$8)^2+2*1000*Serviceability!$C$14*Sections!$C$8*Sections!$C$4))/1000</f>
        <v>40.3964621978773</v>
      </c>
      <c r="D16" s="10" t="s">
        <v>47</v>
      </c>
      <c r="E16" s="12"/>
      <c r="F16" s="12"/>
    </row>
    <row r="17" customFormat="false" ht="15" hidden="false" customHeight="false" outlineLevel="0" collapsed="false">
      <c r="A17" s="10" t="s">
        <v>285</v>
      </c>
      <c r="B17" s="10"/>
      <c r="C17" s="21" t="n">
        <f aca="false">1000*Serviceability!$C$16^3/3+Serviceability!$C$14*Sections!$C$8*(Sections!$C$4-Serviceability!$C$16)^2</f>
        <v>130986061.2985</v>
      </c>
      <c r="D17" s="10" t="s">
        <v>283</v>
      </c>
      <c r="E17" s="12"/>
      <c r="F17" s="12"/>
    </row>
    <row r="18" customFormat="false" ht="15" hidden="false" customHeight="false" outlineLevel="0" collapsed="false">
      <c r="A18" s="10" t="s">
        <v>286</v>
      </c>
      <c r="B18" s="10"/>
      <c r="C18" s="15" t="n">
        <f aca="false">0.62*SQRT(Inputs!$C$6)*Serviceability!$C$15/(Inputs!$C$16/2)/1000000</f>
        <v>21.7147568871186</v>
      </c>
      <c r="D18" s="10" t="s">
        <v>175</v>
      </c>
      <c r="E18" s="12" t="s">
        <v>287</v>
      </c>
      <c r="F18" s="12"/>
    </row>
    <row r="19" customFormat="false" ht="15" hidden="false" customHeight="false" outlineLevel="0" collapsed="false">
      <c r="A19" s="10" t="s">
        <v>288</v>
      </c>
      <c r="B19" s="10"/>
      <c r="C19" s="17" t="n">
        <v>48.3212454372867</v>
      </c>
      <c r="D19" s="10" t="s">
        <v>175</v>
      </c>
      <c r="E19" s="12" t="s">
        <v>289</v>
      </c>
      <c r="F19" s="12"/>
    </row>
    <row r="20" customFormat="false" ht="15" hidden="false" customHeight="false" outlineLevel="0" collapsed="false">
      <c r="A20" s="10" t="s">
        <v>290</v>
      </c>
      <c r="B20" s="10"/>
      <c r="C20" s="15" t="n">
        <f aca="false">MIN(Serviceability!$C$15,Serviceability!$C$17/(1-(2/3*Serviceability!$C$18/Serviceability!$C$19)^2*(1-Serviceability!$C$17/Serviceability!$C$15)))/Serviceability!$C$15</f>
        <v>0.211750262421725</v>
      </c>
      <c r="D20" s="10"/>
      <c r="E20" s="12" t="s">
        <v>291</v>
      </c>
      <c r="F20" s="12"/>
    </row>
    <row r="21" customFormat="false" ht="15" hidden="false" customHeight="false" outlineLevel="0" collapsed="false">
      <c r="A21" s="10" t="s">
        <v>292</v>
      </c>
      <c r="B21" s="10"/>
      <c r="C21" s="17" t="n">
        <v>30.3826486772874</v>
      </c>
      <c r="D21" s="10" t="s">
        <v>175</v>
      </c>
      <c r="E21" s="12" t="s">
        <v>289</v>
      </c>
      <c r="F21" s="12"/>
    </row>
    <row r="22" customFormat="false" ht="15" hidden="false" customHeight="false" outlineLevel="0" collapsed="false">
      <c r="A22" s="10" t="s">
        <v>293</v>
      </c>
      <c r="B22" s="10"/>
      <c r="C22" s="15" t="n">
        <f aca="false">MIN(Serviceability!$C$15,Serviceability!$C$17/(1-(2/3*Serviceability!$C$18/Serviceability!$C$21)^2*(1-Serviceability!$C$17/Serviceability!$C$15)))/Serviceability!$C$15</f>
        <v>0.240317989623261</v>
      </c>
      <c r="D22" s="10"/>
      <c r="E22" s="12" t="s">
        <v>291</v>
      </c>
      <c r="F22" s="12"/>
    </row>
    <row r="24" customFormat="false" ht="15" hidden="false" customHeight="false" outlineLevel="0" collapsed="false">
      <c r="A24" s="4" t="s">
        <v>294</v>
      </c>
      <c r="B24" s="9"/>
      <c r="C24" s="9"/>
      <c r="D24" s="9"/>
      <c r="E24" s="9"/>
      <c r="F24" s="9"/>
    </row>
    <row r="25" customFormat="false" ht="15" hidden="false" customHeight="false" outlineLevel="0" collapsed="false">
      <c r="A25" s="10" t="s">
        <v>295</v>
      </c>
      <c r="B25" s="10"/>
      <c r="C25" s="22" t="n">
        <v>18.4692685959235</v>
      </c>
      <c r="D25" s="10" t="s">
        <v>47</v>
      </c>
      <c r="E25" s="12" t="s">
        <v>296</v>
      </c>
      <c r="F25" s="12"/>
    </row>
    <row r="26" customFormat="false" ht="15" hidden="false" customHeight="false" outlineLevel="0" collapsed="false">
      <c r="A26" s="10" t="s">
        <v>297</v>
      </c>
      <c r="B26" s="10"/>
      <c r="C26" s="22" t="n">
        <v>78.0993791470159</v>
      </c>
      <c r="D26" s="10" t="s">
        <v>47</v>
      </c>
      <c r="E26" s="12" t="s">
        <v>298</v>
      </c>
      <c r="F26" s="12"/>
    </row>
    <row r="27" customFormat="false" ht="15" hidden="false" customHeight="false" outlineLevel="0" collapsed="false">
      <c r="A27" s="10" t="s">
        <v>299</v>
      </c>
      <c r="B27" s="10"/>
      <c r="C27" s="13" t="n">
        <f aca="false">Loads!$C$22/360</f>
        <v>15.3888888888889</v>
      </c>
      <c r="D27" s="10" t="s">
        <v>47</v>
      </c>
      <c r="E27" s="12" t="s">
        <v>300</v>
      </c>
      <c r="F27" s="12"/>
    </row>
    <row r="28" customFormat="false" ht="15" hidden="false" customHeight="false" outlineLevel="0" collapsed="false">
      <c r="A28" s="10" t="s">
        <v>301</v>
      </c>
      <c r="B28" s="10"/>
      <c r="C28" s="13" t="n">
        <f aca="false">Loads!$C$22/240</f>
        <v>23.0833333333333</v>
      </c>
      <c r="D28" s="10" t="s">
        <v>47</v>
      </c>
      <c r="E28" s="12" t="s">
        <v>300</v>
      </c>
      <c r="F28" s="12"/>
    </row>
    <row r="29" customFormat="false" ht="15" hidden="false" customHeight="false" outlineLevel="0" collapsed="false">
      <c r="A29" s="10" t="s">
        <v>302</v>
      </c>
      <c r="B29" s="10"/>
      <c r="C29" s="22" t="n">
        <v>8.53671127288366</v>
      </c>
      <c r="D29" s="10" t="s">
        <v>47</v>
      </c>
      <c r="E29" s="12" t="s">
        <v>296</v>
      </c>
      <c r="F29" s="12"/>
    </row>
    <row r="30" customFormat="false" ht="15" hidden="false" customHeight="false" outlineLevel="0" collapsed="false">
      <c r="A30" s="10" t="s">
        <v>303</v>
      </c>
      <c r="B30" s="10"/>
      <c r="C30" s="22" t="n">
        <v>35.8716661584323</v>
      </c>
      <c r="D30" s="10" t="s">
        <v>47</v>
      </c>
      <c r="E30" s="12" t="s">
        <v>298</v>
      </c>
      <c r="F30" s="12"/>
    </row>
    <row r="31" customFormat="false" ht="15" hidden="false" customHeight="false" outlineLevel="0" collapsed="false">
      <c r="A31" s="10" t="s">
        <v>304</v>
      </c>
      <c r="B31" s="10"/>
      <c r="C31" s="13" t="n">
        <f aca="false">Loads!$C$23/360</f>
        <v>16.3333333333333</v>
      </c>
      <c r="D31" s="10" t="s">
        <v>47</v>
      </c>
      <c r="E31" s="12" t="s">
        <v>300</v>
      </c>
      <c r="F31" s="12"/>
    </row>
    <row r="32" customFormat="false" ht="15" hidden="false" customHeight="false" outlineLevel="0" collapsed="false">
      <c r="A32" s="10" t="s">
        <v>305</v>
      </c>
      <c r="B32" s="10"/>
      <c r="C32" s="13" t="n">
        <f aca="false">Loads!$C$23/240</f>
        <v>24.5</v>
      </c>
      <c r="D32" s="10" t="s">
        <v>47</v>
      </c>
      <c r="E32" s="12" t="s">
        <v>300</v>
      </c>
      <c r="F32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5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306</v>
      </c>
    </row>
    <row r="3" customFormat="false" ht="15" hidden="false" customHeight="false" outlineLevel="0" collapsed="false">
      <c r="A3" s="8" t="s">
        <v>23</v>
      </c>
      <c r="B3" s="8" t="s">
        <v>24</v>
      </c>
      <c r="C3" s="8" t="s">
        <v>25</v>
      </c>
      <c r="D3" s="8" t="s">
        <v>26</v>
      </c>
      <c r="E3" s="8" t="s">
        <v>27</v>
      </c>
      <c r="F3" s="8" t="s">
        <v>28</v>
      </c>
    </row>
    <row r="4" customFormat="false" ht="15" hidden="false" customHeight="false" outlineLevel="0" collapsed="false">
      <c r="A4" s="10" t="s">
        <v>307</v>
      </c>
      <c r="B4" s="10"/>
      <c r="C4" s="15" t="n">
        <f aca="false">Frame!$C$17+Frame!$C$18</f>
        <v>82.8225703770199</v>
      </c>
      <c r="D4" s="10" t="s">
        <v>167</v>
      </c>
      <c r="E4" s="12" t="s">
        <v>308</v>
      </c>
      <c r="F4" s="12"/>
    </row>
    <row r="5" customFormat="false" ht="15" hidden="false" customHeight="false" outlineLevel="0" collapsed="false">
      <c r="A5" s="10" t="s">
        <v>309</v>
      </c>
      <c r="B5" s="10"/>
      <c r="C5" s="15" t="n">
        <f aca="false">Inputs!$C$9*Inputs!$C$49/1000*Inputs!$C$50/1000</f>
        <v>4.32</v>
      </c>
      <c r="D5" s="10" t="s">
        <v>167</v>
      </c>
      <c r="E5" s="12"/>
      <c r="F5" s="12"/>
    </row>
    <row r="6" customFormat="false" ht="15" hidden="false" customHeight="false" outlineLevel="0" collapsed="false">
      <c r="A6" s="10" t="s">
        <v>310</v>
      </c>
      <c r="B6" s="10"/>
      <c r="C6" s="15" t="n">
        <f aca="false">Inputs!$C$52*Inputs!$C$51/1000*(Inputs!$C$49-Inputs!$C$21)/1000</f>
        <v>4.41</v>
      </c>
      <c r="D6" s="10" t="s">
        <v>167</v>
      </c>
      <c r="E6" s="12"/>
      <c r="F6" s="12"/>
    </row>
    <row r="7" customFormat="false" ht="15" hidden="false" customHeight="false" outlineLevel="0" collapsed="false">
      <c r="A7" s="10" t="s">
        <v>311</v>
      </c>
      <c r="B7" s="10"/>
      <c r="C7" s="15" t="n">
        <f aca="false">Footing!$C$4+Footing!$C$5+Footing!$C$6</f>
        <v>91.5525703770199</v>
      </c>
      <c r="D7" s="10" t="s">
        <v>167</v>
      </c>
      <c r="E7" s="12"/>
      <c r="F7" s="12"/>
    </row>
    <row r="8" customFormat="false" ht="15" hidden="false" customHeight="false" outlineLevel="0" collapsed="false">
      <c r="A8" s="10" t="s">
        <v>312</v>
      </c>
      <c r="B8" s="10"/>
      <c r="C8" s="15" t="n">
        <f aca="false">ABS(Frame!$C$19)*Inputs!$C$50/1000/Footing!$C$7</f>
        <v>0.42899773210816</v>
      </c>
      <c r="D8" s="10" t="s">
        <v>171</v>
      </c>
      <c r="E8" s="12" t="s">
        <v>313</v>
      </c>
      <c r="F8" s="12"/>
    </row>
    <row r="9" customFormat="false" ht="15" hidden="false" customHeight="false" outlineLevel="0" collapsed="false">
      <c r="A9" s="10" t="s">
        <v>314</v>
      </c>
      <c r="B9" s="10"/>
      <c r="C9" s="15" t="n">
        <f aca="false">Inputs!$C$49/1000/6</f>
        <v>0.1</v>
      </c>
      <c r="D9" s="10" t="s">
        <v>171</v>
      </c>
      <c r="E9" s="12"/>
      <c r="F9" s="12"/>
    </row>
    <row r="10" customFormat="false" ht="15" hidden="false" customHeight="false" outlineLevel="0" collapsed="false">
      <c r="A10" s="10" t="s">
        <v>315</v>
      </c>
      <c r="B10" s="10"/>
      <c r="C10" s="15" t="str">
        <f aca="false">IF(Footing!$C$8&lt;=Footing!$C$9,Footing!$C$7/(Inputs!$C$49/1000)*(1+6*Footing!$C$8/(Inputs!$C$49/1000)),IF(Footing!$C$8&lt;Inputs!$C$49/2000,2*Footing!$C$7/(3*(Inputs!$C$49/2000-Footing!$C$8)),"Outside"))</f>
        <v>Outside</v>
      </c>
      <c r="D10" s="10" t="s">
        <v>76</v>
      </c>
      <c r="E10" s="12" t="s">
        <v>316</v>
      </c>
      <c r="F10" s="12"/>
    </row>
    <row r="11" customFormat="false" ht="15" hidden="false" customHeight="false" outlineLevel="0" collapsed="false">
      <c r="A11" s="10" t="s">
        <v>317</v>
      </c>
      <c r="B11" s="10"/>
      <c r="C11" s="15" t="n">
        <f aca="false">Inputs!$C$53*Footing!$C$7/ABS(Frame!$C$19)</f>
        <v>0.314686978265805</v>
      </c>
      <c r="D11" s="10"/>
      <c r="E11" s="12" t="s">
        <v>318</v>
      </c>
      <c r="F11" s="12"/>
    </row>
    <row r="12" customFormat="false" ht="15" hidden="false" customHeight="false" outlineLevel="0" collapsed="false">
      <c r="A12" s="10" t="s">
        <v>319</v>
      </c>
      <c r="B12" s="10"/>
      <c r="C12" s="18" t="n">
        <f aca="false">Inputs!$C$50-Inputs!$C$54-Inputs!$C$55/2</f>
        <v>219</v>
      </c>
      <c r="D12" s="10" t="s">
        <v>47</v>
      </c>
      <c r="E12" s="12"/>
      <c r="F12" s="12"/>
    </row>
    <row r="13" customFormat="false" ht="15" hidden="false" customHeight="false" outlineLevel="0" collapsed="false">
      <c r="A13" s="10" t="s">
        <v>320</v>
      </c>
      <c r="B13" s="10"/>
      <c r="C13" s="15" t="n">
        <f aca="false">0.9*(PI()*Inputs!$C$55^2/4*1000/Inputs!$C$56)*Inputs!$C$7*(Footing!$C$12-(PI()*Inputs!$C$55^2/4*1000/Inputs!$C$56)*Inputs!$C$7/(0.85*Inputs!$C$6*1000)/2)/1000000</f>
        <v>45.0920656653761</v>
      </c>
      <c r="D13" s="10" t="s">
        <v>175</v>
      </c>
      <c r="E13" s="12" t="s">
        <v>321</v>
      </c>
      <c r="F13" s="12"/>
    </row>
    <row r="14" customFormat="false" ht="15" hidden="false" customHeight="false" outlineLevel="0" collapsed="false">
      <c r="A14" s="10" t="s">
        <v>322</v>
      </c>
      <c r="B14" s="10"/>
      <c r="C14" s="15" t="n">
        <f aca="false">Sections!$C$43*1000*Inputs!$C$50</f>
        <v>600</v>
      </c>
      <c r="D14" s="10" t="s">
        <v>222</v>
      </c>
      <c r="E14" s="12"/>
      <c r="F14" s="12"/>
    </row>
    <row r="15" customFormat="false" ht="15" hidden="false" customHeight="false" outlineLevel="0" collapsed="false">
      <c r="A15" s="10" t="s">
        <v>323</v>
      </c>
      <c r="B15" s="10"/>
      <c r="C15" s="15" t="n">
        <f aca="false">PI()*Inputs!$C$55^2/4*1000/Inputs!$C$56</f>
        <v>565.486677646163</v>
      </c>
      <c r="D15" s="10" t="s">
        <v>222</v>
      </c>
      <c r="E15" s="12"/>
      <c r="F15" s="12"/>
    </row>
    <row r="16" customFormat="false" ht="15" hidden="false" customHeight="false" outlineLevel="0" collapsed="false">
      <c r="A16" s="10" t="s">
        <v>324</v>
      </c>
      <c r="B16" s="10"/>
      <c r="C16" s="15" t="n">
        <f aca="false">Inputs!$C$50-Inputs!$C$54-Inputs!$C$55</f>
        <v>213</v>
      </c>
      <c r="D16" s="10" t="s">
        <v>47</v>
      </c>
      <c r="E16" s="12"/>
      <c r="F1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9" min="9" style="0" width="48"/>
  </cols>
  <sheetData>
    <row r="1" customFormat="false" ht="17.35" hidden="false" customHeight="false" outlineLevel="0" collapsed="false">
      <c r="A1" s="1" t="s">
        <v>325</v>
      </c>
    </row>
    <row r="2" customFormat="false" ht="15" hidden="false" customHeight="false" outlineLevel="0" collapsed="false">
      <c r="A2" s="23" t="s">
        <v>326</v>
      </c>
    </row>
    <row r="4" customFormat="false" ht="15" hidden="false" customHeight="false" outlineLevel="0" collapsed="false">
      <c r="A4" s="8" t="s">
        <v>327</v>
      </c>
      <c r="B4" s="8" t="s">
        <v>328</v>
      </c>
      <c r="C4" s="8" t="s">
        <v>26</v>
      </c>
      <c r="D4" s="8" t="s">
        <v>329</v>
      </c>
      <c r="E4" s="8" t="s">
        <v>330</v>
      </c>
      <c r="F4" s="8" t="s">
        <v>331</v>
      </c>
      <c r="G4" s="8" t="s">
        <v>332</v>
      </c>
      <c r="H4" s="8" t="s">
        <v>333</v>
      </c>
      <c r="I4" s="8" t="s">
        <v>334</v>
      </c>
    </row>
    <row r="5" customFormat="false" ht="15" hidden="false" customHeight="false" outlineLevel="0" collapsed="false">
      <c r="A5" s="9"/>
      <c r="B5" s="4" t="s">
        <v>335</v>
      </c>
      <c r="C5" s="9"/>
      <c r="D5" s="9"/>
      <c r="E5" s="9"/>
      <c r="F5" s="9"/>
      <c r="G5" s="9"/>
      <c r="H5" s="9"/>
      <c r="I5" s="9"/>
    </row>
    <row r="6" customFormat="false" ht="15" hidden="false" customHeight="false" outlineLevel="0" collapsed="false">
      <c r="A6" s="24" t="n">
        <v>1</v>
      </c>
      <c r="B6" s="24" t="s">
        <v>336</v>
      </c>
      <c r="C6" s="24" t="s">
        <v>76</v>
      </c>
      <c r="D6" s="25" t="n">
        <f aca="false">Loads!$C$13</f>
        <v>8.114678130016</v>
      </c>
      <c r="E6" s="26" t="n">
        <v>8.114678130016</v>
      </c>
      <c r="F6" s="27" t="n">
        <f aca="false">IF(ABS(D6)&lt;0.000000001,0,(E6-D6)/ABS(D6))</f>
        <v>0</v>
      </c>
      <c r="G6" s="28" t="n">
        <v>0.02</v>
      </c>
      <c r="H6" s="24" t="str">
        <f aca="false">IF(ABS(F6)&lt;=G6,"MATCH","FLAG")</f>
        <v>MATCH</v>
      </c>
      <c r="I6" s="24" t="s">
        <v>337</v>
      </c>
    </row>
    <row r="7" customFormat="false" ht="15" hidden="false" customHeight="false" outlineLevel="0" collapsed="false">
      <c r="A7" s="24" t="n">
        <v>2</v>
      </c>
      <c r="B7" s="24" t="s">
        <v>138</v>
      </c>
      <c r="C7" s="24" t="s">
        <v>76</v>
      </c>
      <c r="D7" s="25" t="n">
        <f aca="false">Loads!$C$14</f>
        <v>5.8</v>
      </c>
      <c r="E7" s="26" t="n">
        <v>5.8</v>
      </c>
      <c r="F7" s="27" t="n">
        <f aca="false">IF(ABS(D7)&lt;0.000000001,0,(E7-D7)/ABS(D7))</f>
        <v>0</v>
      </c>
      <c r="G7" s="28" t="n">
        <v>0.02</v>
      </c>
      <c r="H7" s="24" t="str">
        <f aca="false">IF(ABS(F7)&lt;=G7,"MATCH","FLAG")</f>
        <v>MATCH</v>
      </c>
      <c r="I7" s="24" t="s">
        <v>338</v>
      </c>
    </row>
    <row r="8" customFormat="false" ht="15" hidden="false" customHeight="false" outlineLevel="0" collapsed="false">
      <c r="A8" s="24" t="n">
        <v>3</v>
      </c>
      <c r="B8" s="24" t="s">
        <v>339</v>
      </c>
      <c r="C8" s="24" t="s">
        <v>126</v>
      </c>
      <c r="D8" s="25" t="n">
        <f aca="false">Loads!$C$6</f>
        <v>24.3462138661649</v>
      </c>
      <c r="E8" s="26" t="n">
        <v>24.3462138661649</v>
      </c>
      <c r="F8" s="27" t="n">
        <f aca="false">IF(ABS(D8)&lt;0.000000001,0,(E8-D8)/ABS(D8))</f>
        <v>0</v>
      </c>
      <c r="G8" s="28" t="n">
        <v>0.01</v>
      </c>
      <c r="H8" s="24" t="str">
        <f aca="false">IF(ABS(F8)&lt;=G8,"MATCH","FLAG")</f>
        <v>MATCH</v>
      </c>
      <c r="I8" s="24" t="s">
        <v>340</v>
      </c>
    </row>
    <row r="9" customFormat="false" ht="15" hidden="false" customHeight="false" outlineLevel="0" collapsed="false">
      <c r="A9" s="9"/>
      <c r="B9" s="4" t="s">
        <v>341</v>
      </c>
      <c r="C9" s="9"/>
      <c r="D9" s="9"/>
      <c r="E9" s="9"/>
      <c r="F9" s="9"/>
      <c r="G9" s="9"/>
      <c r="H9" s="9"/>
      <c r="I9" s="9"/>
    </row>
    <row r="10" customFormat="false" ht="15" hidden="false" customHeight="false" outlineLevel="0" collapsed="false">
      <c r="A10" s="24" t="n">
        <v>4</v>
      </c>
      <c r="B10" s="24" t="s">
        <v>342</v>
      </c>
      <c r="C10" s="24" t="s">
        <v>167</v>
      </c>
      <c r="D10" s="25" t="n">
        <f aca="false">Frame!$C$17</f>
        <v>51.2416835987544</v>
      </c>
      <c r="E10" s="26" t="n">
        <v>51.2408470528834</v>
      </c>
      <c r="F10" s="27" t="n">
        <f aca="false">IF(ABS(D10)&lt;0.000000001,0,(E10-D10)/ABS(D10))</f>
        <v>-1.63254954223396E-005</v>
      </c>
      <c r="G10" s="28" t="n">
        <v>0.02</v>
      </c>
      <c r="H10" s="24" t="str">
        <f aca="false">IF(ABS(F10)&lt;=G10,"MATCH","FLAG")</f>
        <v>MATCH</v>
      </c>
      <c r="I10" s="24" t="s">
        <v>343</v>
      </c>
    </row>
    <row r="11" customFormat="false" ht="15" hidden="false" customHeight="false" outlineLevel="0" collapsed="false">
      <c r="A11" s="24" t="n">
        <v>5</v>
      </c>
      <c r="B11" s="24" t="s">
        <v>344</v>
      </c>
      <c r="C11" s="24" t="s">
        <v>167</v>
      </c>
      <c r="D11" s="25" t="n">
        <f aca="false">Frame!$C$18</f>
        <v>31.5808867782654</v>
      </c>
      <c r="E11" s="26" t="n">
        <v>31.580912150446</v>
      </c>
      <c r="F11" s="27" t="n">
        <f aca="false">IF(ABS(D11)&lt;0.000000001,0,(E11-D11)/ABS(D11))</f>
        <v>8.0340304366196E-007</v>
      </c>
      <c r="G11" s="28" t="n">
        <v>0.02</v>
      </c>
      <c r="H11" s="24" t="str">
        <f aca="false">IF(ABS(F11)&lt;=G11,"MATCH","FLAG")</f>
        <v>MATCH</v>
      </c>
      <c r="I11" s="24" t="s">
        <v>345</v>
      </c>
    </row>
    <row r="12" customFormat="false" ht="15" hidden="false" customHeight="false" outlineLevel="0" collapsed="false">
      <c r="A12" s="24" t="n">
        <v>6</v>
      </c>
      <c r="B12" s="24" t="s">
        <v>346</v>
      </c>
      <c r="C12" s="24" t="s">
        <v>167</v>
      </c>
      <c r="D12" s="25" t="n">
        <f aca="false">Frame!$C$19</f>
        <v>130.919483534714</v>
      </c>
      <c r="E12" s="26" t="n">
        <v>130.917791926642</v>
      </c>
      <c r="F12" s="27" t="n">
        <f aca="false">IF(ABS(D12)&lt;0.000000001,0,(E12-D12)/ABS(D12))</f>
        <v>-1.29209803361996E-005</v>
      </c>
      <c r="G12" s="28" t="n">
        <v>0.02</v>
      </c>
      <c r="H12" s="24" t="str">
        <f aca="false">IF(ABS(F12)&lt;=G12,"MATCH","FLAG")</f>
        <v>MATCH</v>
      </c>
      <c r="I12" s="24" t="s">
        <v>347</v>
      </c>
    </row>
    <row r="13" customFormat="false" ht="15" hidden="false" customHeight="false" outlineLevel="0" collapsed="false">
      <c r="A13" s="24" t="n">
        <v>7</v>
      </c>
      <c r="B13" s="24" t="s">
        <v>348</v>
      </c>
      <c r="C13" s="24" t="s">
        <v>167</v>
      </c>
      <c r="D13" s="25" t="n">
        <f aca="false">Frame!$C$20</f>
        <v>112.01943916373</v>
      </c>
      <c r="E13" s="26" t="n">
        <v>112.018475904174</v>
      </c>
      <c r="F13" s="27" t="n">
        <f aca="false">IF(ABS(D13)&lt;0.000000001,0,(E13-D13)/ABS(D13))</f>
        <v>-8.59903926935913E-006</v>
      </c>
      <c r="G13" s="28" t="n">
        <v>0.02</v>
      </c>
      <c r="H13" s="24" t="str">
        <f aca="false">IF(ABS(F13)&lt;=G13,"MATCH","FLAG")</f>
        <v>MATCH</v>
      </c>
      <c r="I13" s="24" t="s">
        <v>349</v>
      </c>
    </row>
    <row r="14" customFormat="false" ht="15" hidden="false" customHeight="false" outlineLevel="0" collapsed="false">
      <c r="A14" s="24" t="n">
        <v>8</v>
      </c>
      <c r="B14" s="24" t="s">
        <v>350</v>
      </c>
      <c r="C14" s="24" t="s">
        <v>167</v>
      </c>
      <c r="D14" s="25" t="n">
        <f aca="false">Frame!$C$21</f>
        <v>177.264638551233</v>
      </c>
      <c r="E14" s="26" t="n">
        <v>177.262636597068</v>
      </c>
      <c r="F14" s="27" t="n">
        <f aca="false">IF(ABS(D14)&lt;0.000000001,0,(E14-D14)/ABS(D14))</f>
        <v>-1.12935900879268E-005</v>
      </c>
      <c r="G14" s="28" t="n">
        <v>0.02</v>
      </c>
      <c r="H14" s="24" t="str">
        <f aca="false">IF(ABS(F14)&lt;=G14,"MATCH","FLAG")</f>
        <v>MATCH</v>
      </c>
      <c r="I14" s="24" t="s">
        <v>351</v>
      </c>
    </row>
    <row r="15" customFormat="false" ht="15" hidden="false" customHeight="false" outlineLevel="0" collapsed="false">
      <c r="A15" s="24" t="n">
        <v>9</v>
      </c>
      <c r="B15" s="24" t="s">
        <v>352</v>
      </c>
      <c r="C15" s="24" t="s">
        <v>167</v>
      </c>
      <c r="D15" s="25" t="n">
        <f aca="false">Frame!$C$22</f>
        <v>19.5440843284356</v>
      </c>
      <c r="E15" s="26" t="n">
        <v>19.5435323140759</v>
      </c>
      <c r="F15" s="27" t="n">
        <f aca="false">IF(ABS(D15)&lt;0.000000001,0,(E15-D15)/ABS(D15))</f>
        <v>-2.82445752128057E-005</v>
      </c>
      <c r="G15" s="28" t="n">
        <v>0.02</v>
      </c>
      <c r="H15" s="24" t="str">
        <f aca="false">IF(ABS(F15)&lt;=G15,"MATCH","FLAG")</f>
        <v>MATCH</v>
      </c>
      <c r="I15" s="24" t="s">
        <v>353</v>
      </c>
    </row>
    <row r="16" customFormat="false" ht="15" hidden="false" customHeight="false" outlineLevel="0" collapsed="false">
      <c r="A16" s="24" t="n">
        <v>10</v>
      </c>
      <c r="B16" s="24" t="s">
        <v>354</v>
      </c>
      <c r="C16" s="24" t="s">
        <v>167</v>
      </c>
      <c r="D16" s="25" t="n">
        <f aca="false">Frame!$C$23</f>
        <v>13.296</v>
      </c>
      <c r="E16" s="26" t="n">
        <v>13.2960000009029</v>
      </c>
      <c r="F16" s="27" t="n">
        <f aca="false">IF(ABS(D16)&lt;0.000000001,0,(E16-D16)/ABS(D16))</f>
        <v>6.79046336475458E-011</v>
      </c>
      <c r="G16" s="28" t="n">
        <v>0.02</v>
      </c>
      <c r="H16" s="24" t="str">
        <f aca="false">IF(ABS(F16)&lt;=G16,"MATCH","FLAG")</f>
        <v>MATCH</v>
      </c>
      <c r="I16" s="24" t="s">
        <v>355</v>
      </c>
    </row>
    <row r="17" customFormat="false" ht="15" hidden="false" customHeight="false" outlineLevel="0" collapsed="false">
      <c r="A17" s="24" t="n">
        <v>11</v>
      </c>
      <c r="B17" s="24" t="s">
        <v>356</v>
      </c>
      <c r="C17" s="24" t="s">
        <v>167</v>
      </c>
      <c r="D17" s="25" t="n">
        <f aca="false">Frame!$C$24</f>
        <v>-19.5802756137505</v>
      </c>
      <c r="E17" s="26" t="n">
        <v>-19.5802117774391</v>
      </c>
      <c r="F17" s="27" t="n">
        <f aca="false">IF(ABS(D17)&lt;0.000000001,0,(E17-D17)/ABS(D17))</f>
        <v>3.26023558643209E-006</v>
      </c>
      <c r="G17" s="28" t="n">
        <v>0.02</v>
      </c>
      <c r="H17" s="24" t="str">
        <f aca="false">IF(ABS(F17)&lt;=G17,"MATCH","FLAG")</f>
        <v>MATCH</v>
      </c>
      <c r="I17" s="24" t="s">
        <v>357</v>
      </c>
    </row>
    <row r="18" customFormat="false" ht="15" hidden="false" customHeight="false" outlineLevel="0" collapsed="false">
      <c r="A18" s="24" t="n">
        <v>12</v>
      </c>
      <c r="B18" s="24" t="s">
        <v>358</v>
      </c>
      <c r="C18" s="24" t="s">
        <v>175</v>
      </c>
      <c r="D18" s="25" t="n">
        <f aca="false">Frame!$C$13</f>
        <v>65.3498109619107</v>
      </c>
      <c r="E18" s="26" t="n">
        <v>65.35</v>
      </c>
      <c r="F18" s="27" t="n">
        <f aca="false">IF(ABS(D18)&lt;0.000000001,0,(E18-D18)/ABS(D18))</f>
        <v>2.89271057655934E-006</v>
      </c>
      <c r="G18" s="28" t="n">
        <v>0.02</v>
      </c>
      <c r="H18" s="24" t="str">
        <f aca="false">IF(ABS(F18)&lt;=G18,"MATCH","FLAG")</f>
        <v>MATCH</v>
      </c>
      <c r="I18" s="24" t="s">
        <v>359</v>
      </c>
    </row>
    <row r="19" customFormat="false" ht="15" hidden="false" customHeight="false" outlineLevel="0" collapsed="false">
      <c r="A19" s="24" t="n">
        <v>13</v>
      </c>
      <c r="B19" s="24" t="s">
        <v>360</v>
      </c>
      <c r="C19" s="24" t="s">
        <v>175</v>
      </c>
      <c r="D19" s="25" t="n">
        <f aca="false">Frame!$C$25</f>
        <v>65.3504637450896</v>
      </c>
      <c r="E19" s="26" t="n">
        <v>65.3459339785036</v>
      </c>
      <c r="F19" s="27" t="n">
        <f aca="false">IF(ABS(D19)&lt;0.000000001,0,(E19-D19)/ABS(D19))</f>
        <v>-6.93149876288694E-005</v>
      </c>
      <c r="G19" s="28" t="n">
        <v>0.02</v>
      </c>
      <c r="H19" s="24" t="str">
        <f aca="false">IF(ABS(F19)&lt;=G19,"MATCH","FLAG")</f>
        <v>MATCH</v>
      </c>
      <c r="I19" s="24" t="s">
        <v>361</v>
      </c>
    </row>
    <row r="20" customFormat="false" ht="15" hidden="false" customHeight="false" outlineLevel="0" collapsed="false">
      <c r="A20" s="24" t="n">
        <v>14</v>
      </c>
      <c r="B20" s="24" t="s">
        <v>362</v>
      </c>
      <c r="C20" s="24" t="s">
        <v>175</v>
      </c>
      <c r="D20" s="25" t="n">
        <f aca="false">Frame!$C$27</f>
        <v>-30.3329099022901</v>
      </c>
      <c r="E20" s="26" t="n">
        <v>-30.3393554633367</v>
      </c>
      <c r="F20" s="27" t="n">
        <f aca="false">IF(ABS(D20)&lt;0.000000001,0,(E20-D20)/ABS(D20))</f>
        <v>-0.000212493989773549</v>
      </c>
      <c r="G20" s="28" t="n">
        <v>0.02</v>
      </c>
      <c r="H20" s="24" t="str">
        <f aca="false">IF(ABS(F20)&lt;=G20,"MATCH","FLAG")</f>
        <v>MATCH</v>
      </c>
      <c r="I20" s="24" t="s">
        <v>363</v>
      </c>
    </row>
    <row r="21" customFormat="false" ht="15" hidden="false" customHeight="false" outlineLevel="0" collapsed="false">
      <c r="A21" s="24" t="n">
        <v>15</v>
      </c>
      <c r="B21" s="24" t="s">
        <v>209</v>
      </c>
      <c r="C21" s="24" t="s">
        <v>167</v>
      </c>
      <c r="D21" s="25" t="n">
        <f aca="false">Frame!$C$28</f>
        <v>40.5675361974901</v>
      </c>
      <c r="E21" s="26" t="n">
        <v>40.5862568476637</v>
      </c>
      <c r="F21" s="27" t="n">
        <f aca="false">IF(ABS(D21)&lt;0.000000001,0,(E21-D21)/ABS(D21))</f>
        <v>0.000461468748865704</v>
      </c>
      <c r="G21" s="28" t="n">
        <v>0.02</v>
      </c>
      <c r="H21" s="24" t="str">
        <f aca="false">IF(ABS(F21)&lt;=G21,"MATCH","FLAG")</f>
        <v>MATCH</v>
      </c>
      <c r="I21" s="24" t="s">
        <v>364</v>
      </c>
    </row>
    <row r="22" customFormat="false" ht="15" hidden="false" customHeight="false" outlineLevel="0" collapsed="false">
      <c r="A22" s="9"/>
      <c r="B22" s="4" t="s">
        <v>365</v>
      </c>
      <c r="C22" s="9"/>
      <c r="D22" s="9"/>
      <c r="E22" s="9"/>
      <c r="F22" s="9"/>
      <c r="G22" s="9"/>
      <c r="H22" s="9"/>
      <c r="I22" s="9"/>
    </row>
    <row r="23" customFormat="false" ht="15" hidden="false" customHeight="false" outlineLevel="0" collapsed="false">
      <c r="A23" s="24" t="n">
        <v>16</v>
      </c>
      <c r="B23" s="24" t="s">
        <v>352</v>
      </c>
      <c r="C23" s="24" t="s">
        <v>167</v>
      </c>
      <c r="D23" s="25" t="n">
        <f aca="false">Frame!$C$32</f>
        <v>15.1539229731018</v>
      </c>
      <c r="E23" s="26" t="n">
        <v>15.1536912918513</v>
      </c>
      <c r="F23" s="27" t="n">
        <f aca="false">IF(ABS(D23)&lt;0.000000001,0,(E23-D23)/ABS(D23))</f>
        <v>-1.52885329384044E-005</v>
      </c>
      <c r="G23" s="28" t="n">
        <v>0.02</v>
      </c>
      <c r="H23" s="24" t="str">
        <f aca="false">IF(ABS(F23)&lt;=G23,"MATCH","FLAG")</f>
        <v>MATCH</v>
      </c>
      <c r="I23" s="24" t="s">
        <v>366</v>
      </c>
    </row>
    <row r="24" customFormat="false" ht="15" hidden="false" customHeight="false" outlineLevel="0" collapsed="false">
      <c r="A24" s="24" t="n">
        <v>17</v>
      </c>
      <c r="B24" s="24" t="s">
        <v>367</v>
      </c>
      <c r="C24" s="24" t="s">
        <v>167</v>
      </c>
      <c r="D24" s="25" t="n">
        <f aca="false">Frame!$C$33</f>
        <v>45.4274955456047</v>
      </c>
      <c r="E24" s="26" t="n">
        <v>45.4271138287011</v>
      </c>
      <c r="F24" s="27" t="n">
        <f aca="false">IF(ABS(D24)&lt;0.000000001,0,(E24-D24)/ABS(D24))</f>
        <v>-8.40277235087387E-006</v>
      </c>
      <c r="G24" s="28" t="n">
        <v>0.02</v>
      </c>
      <c r="H24" s="24" t="str">
        <f aca="false">IF(ABS(F24)&lt;=G24,"MATCH","FLAG")</f>
        <v>MATCH</v>
      </c>
      <c r="I24" s="24" t="s">
        <v>368</v>
      </c>
    </row>
    <row r="25" customFormat="false" ht="15" hidden="false" customHeight="false" outlineLevel="0" collapsed="false">
      <c r="A25" s="24" t="n">
        <v>18</v>
      </c>
      <c r="B25" s="24" t="s">
        <v>369</v>
      </c>
      <c r="C25" s="24" t="s">
        <v>167</v>
      </c>
      <c r="D25" s="25" t="n">
        <f aca="false">Frame!$C$34</f>
        <v>27.8829414156351</v>
      </c>
      <c r="E25" s="26" t="n">
        <v>27.8829205997256</v>
      </c>
      <c r="F25" s="27" t="n">
        <f aca="false">IF(ABS(D25)&lt;0.000000001,0,(E25-D25)/ABS(D25))</f>
        <v>-7.46546401191773E-007</v>
      </c>
      <c r="G25" s="28" t="n">
        <v>0.02</v>
      </c>
      <c r="H25" s="24" t="str">
        <f aca="false">IF(ABS(F25)&lt;=G25,"MATCH","FLAG")</f>
        <v>MATCH</v>
      </c>
      <c r="I25" s="24" t="s">
        <v>370</v>
      </c>
    </row>
    <row r="26" customFormat="false" ht="15" hidden="false" customHeight="false" outlineLevel="0" collapsed="false">
      <c r="A26" s="24" t="n">
        <v>19</v>
      </c>
      <c r="B26" s="24" t="s">
        <v>371</v>
      </c>
      <c r="C26" s="24" t="s">
        <v>175</v>
      </c>
      <c r="D26" s="25" t="n">
        <f aca="false">Frame!$C$35</f>
        <v>73.5635797648822</v>
      </c>
      <c r="E26" s="26" t="n">
        <v>73.6096150391597</v>
      </c>
      <c r="F26" s="27" t="n">
        <f aca="false">IF(ABS(D26)&lt;0.000000001,0,(E26-D26)/ABS(D26))</f>
        <v>0.000625788935566715</v>
      </c>
      <c r="G26" s="28" t="n">
        <v>0.02</v>
      </c>
      <c r="H26" s="24" t="str">
        <f aca="false">IF(ABS(F26)&lt;=G26,"MATCH","FLAG")</f>
        <v>MATCH</v>
      </c>
      <c r="I26" s="24" t="s">
        <v>372</v>
      </c>
    </row>
    <row r="27" customFormat="false" ht="15" hidden="false" customHeight="false" outlineLevel="0" collapsed="false">
      <c r="A27" s="24" t="n">
        <v>20</v>
      </c>
      <c r="B27" s="24" t="s">
        <v>373</v>
      </c>
      <c r="C27" s="24" t="s">
        <v>175</v>
      </c>
      <c r="D27" s="25" t="n">
        <f aca="false">Frame!$C$36</f>
        <v>35.9870659281829</v>
      </c>
      <c r="E27" s="26" t="n">
        <v>35.99</v>
      </c>
      <c r="F27" s="27" t="n">
        <f aca="false">IF(ABS(D27)&lt;0.000000001,0,(E27-D27)/ABS(D27))</f>
        <v>8.1531287462107E-005</v>
      </c>
      <c r="G27" s="28" t="n">
        <v>0.02</v>
      </c>
      <c r="H27" s="24" t="str">
        <f aca="false">IF(ABS(F27)&lt;=G27,"MATCH","FLAG")</f>
        <v>MATCH</v>
      </c>
      <c r="I27" s="24" t="s">
        <v>374</v>
      </c>
    </row>
    <row r="28" customFormat="false" ht="15" hidden="false" customHeight="false" outlineLevel="0" collapsed="false">
      <c r="A28" s="24" t="n">
        <v>21</v>
      </c>
      <c r="B28" s="24" t="s">
        <v>375</v>
      </c>
      <c r="C28" s="24" t="s">
        <v>175</v>
      </c>
      <c r="D28" s="25" t="n">
        <f aca="false">Frame!$C$37</f>
        <v>41.1349335859376</v>
      </c>
      <c r="E28" s="26" t="n">
        <v>41.13</v>
      </c>
      <c r="F28" s="27" t="n">
        <f aca="false">IF(ABS(D28)&lt;0.000000001,0,(E28-D28)/ABS(D28))</f>
        <v>-0.000119936645266495</v>
      </c>
      <c r="G28" s="28" t="n">
        <v>0.02</v>
      </c>
      <c r="H28" s="24" t="str">
        <f aca="false">IF(ABS(F28)&lt;=G28,"MATCH","FLAG")</f>
        <v>MATCH</v>
      </c>
      <c r="I28" s="24" t="s">
        <v>376</v>
      </c>
    </row>
    <row r="29" customFormat="false" ht="15" hidden="false" customHeight="false" outlineLevel="0" collapsed="false">
      <c r="A29" s="24" t="n">
        <v>22</v>
      </c>
      <c r="B29" s="24" t="s">
        <v>377</v>
      </c>
      <c r="C29" s="24" t="s">
        <v>175</v>
      </c>
      <c r="D29" s="25" t="n">
        <f aca="false">Frame!$C$38</f>
        <v>-17.1963108164576</v>
      </c>
      <c r="E29" s="26" t="n">
        <v>-17.2</v>
      </c>
      <c r="F29" s="27" t="n">
        <f aca="false">IF(ABS(D29)&lt;0.000000001,0,(E29-D29)/ABS(D29))</f>
        <v>-0.000214533429975998</v>
      </c>
      <c r="G29" s="28" t="n">
        <v>0.02</v>
      </c>
      <c r="H29" s="24" t="str">
        <f aca="false">IF(ABS(F29)&lt;=G29,"MATCH","FLAG")</f>
        <v>MATCH</v>
      </c>
      <c r="I29" s="24" t="s">
        <v>378</v>
      </c>
    </row>
    <row r="30" customFormat="false" ht="15" hidden="false" customHeight="false" outlineLevel="0" collapsed="false">
      <c r="A30" s="24" t="n">
        <v>23</v>
      </c>
      <c r="B30" s="24" t="s">
        <v>209</v>
      </c>
      <c r="C30" s="24" t="s">
        <v>167</v>
      </c>
      <c r="D30" s="25" t="n">
        <f aca="false">Frame!$C$39</f>
        <v>52.8312770375787</v>
      </c>
      <c r="E30" s="26" t="n">
        <v>52.855872984686</v>
      </c>
      <c r="F30" s="27" t="n">
        <f aca="false">IF(ABS(D30)&lt;0.000000001,0,(E30-D30)/ABS(D30))</f>
        <v>0.00046555655071046</v>
      </c>
      <c r="G30" s="28" t="n">
        <v>0.02</v>
      </c>
      <c r="H30" s="24" t="str">
        <f aca="false">IF(ABS(F30)&lt;=G30,"MATCH","FLAG")</f>
        <v>MATCH</v>
      </c>
      <c r="I30" s="24" t="s">
        <v>379</v>
      </c>
    </row>
    <row r="31" customFormat="false" ht="15" hidden="false" customHeight="false" outlineLevel="0" collapsed="false">
      <c r="A31" s="24" t="n">
        <v>24</v>
      </c>
      <c r="B31" s="24" t="s">
        <v>201</v>
      </c>
      <c r="C31" s="24" t="s">
        <v>167</v>
      </c>
      <c r="D31" s="25" t="n">
        <f aca="false">Frame!$C$40</f>
        <v>155.463077017083</v>
      </c>
      <c r="E31" s="26" t="n">
        <v>155.47234979734</v>
      </c>
      <c r="F31" s="27" t="n">
        <f aca="false">IF(ABS(D31)&lt;0.000000001,0,(E31-D31)/ABS(D31))</f>
        <v>5.96461901747147E-005</v>
      </c>
      <c r="G31" s="28" t="n">
        <v>0.02</v>
      </c>
      <c r="H31" s="24" t="str">
        <f aca="false">IF(ABS(F31)&lt;=G31,"MATCH","FLAG")</f>
        <v>MATCH</v>
      </c>
      <c r="I31" s="24" t="s">
        <v>380</v>
      </c>
    </row>
    <row r="32" customFormat="false" ht="15" hidden="false" customHeight="false" outlineLevel="0" collapsed="false">
      <c r="A32" s="9"/>
      <c r="B32" s="4" t="s">
        <v>381</v>
      </c>
      <c r="C32" s="9"/>
      <c r="D32" s="9"/>
      <c r="E32" s="9"/>
      <c r="F32" s="9"/>
      <c r="G32" s="9"/>
      <c r="H32" s="9"/>
      <c r="I32" s="9"/>
    </row>
    <row r="33" customFormat="false" ht="15" hidden="false" customHeight="false" outlineLevel="0" collapsed="false">
      <c r="A33" s="24" t="n">
        <v>25</v>
      </c>
      <c r="B33" s="24" t="s">
        <v>382</v>
      </c>
      <c r="C33" s="24" t="s">
        <v>175</v>
      </c>
      <c r="D33" s="25" t="n">
        <f aca="false">Sections!$C$12</f>
        <v>47.0134860823576</v>
      </c>
      <c r="E33" s="26" t="n">
        <v>47.01</v>
      </c>
      <c r="F33" s="27" t="n">
        <f aca="false">IF(ABS(D33)&lt;0.000000001,0,(E33-D33)/ABS(D33))</f>
        <v>-7.4150688410465E-005</v>
      </c>
      <c r="G33" s="28" t="n">
        <v>0.01</v>
      </c>
      <c r="H33" s="24" t="str">
        <f aca="false">IF(ABS(F33)&lt;=G33,"MATCH","FLAG")</f>
        <v>MATCH</v>
      </c>
      <c r="I33" s="24" t="s">
        <v>383</v>
      </c>
    </row>
    <row r="34" customFormat="false" ht="15" hidden="false" customHeight="false" outlineLevel="0" collapsed="false">
      <c r="A34" s="24" t="n">
        <v>26</v>
      </c>
      <c r="B34" s="24" t="s">
        <v>384</v>
      </c>
      <c r="C34" s="24" t="s">
        <v>175</v>
      </c>
      <c r="D34" s="25" t="n">
        <f aca="false">Sections!$C$26</f>
        <v>23.9739910138651</v>
      </c>
      <c r="E34" s="26" t="n">
        <v>23.97</v>
      </c>
      <c r="F34" s="27" t="n">
        <f aca="false">IF(ABS(D34)&lt;0.000000001,0,(E34-D34)/ABS(D34))</f>
        <v>-0.000166472652083191</v>
      </c>
      <c r="G34" s="28" t="n">
        <v>0.01</v>
      </c>
      <c r="H34" s="24" t="str">
        <f aca="false">IF(ABS(F34)&lt;=G34,"MATCH","FLAG")</f>
        <v>MATCH</v>
      </c>
      <c r="I34" s="24" t="s">
        <v>383</v>
      </c>
    </row>
    <row r="35" customFormat="false" ht="15" hidden="false" customHeight="false" outlineLevel="0" collapsed="false">
      <c r="A35" s="24" t="n">
        <v>27</v>
      </c>
      <c r="B35" s="24" t="s">
        <v>385</v>
      </c>
      <c r="C35" s="24" t="s">
        <v>175</v>
      </c>
      <c r="D35" s="25" t="n">
        <f aca="false">Sections!$C$33</f>
        <v>35.6105505412829</v>
      </c>
      <c r="E35" s="26" t="n">
        <v>35.61</v>
      </c>
      <c r="F35" s="27" t="n">
        <f aca="false">IF(ABS(D35)&lt;0.000000001,0,(E35-D35)/ABS(D35))</f>
        <v>-1.54600609801575E-005</v>
      </c>
      <c r="G35" s="28" t="n">
        <v>0.01</v>
      </c>
      <c r="H35" s="24" t="str">
        <f aca="false">IF(ABS(F35)&lt;=G35,"MATCH","FLAG")</f>
        <v>MATCH</v>
      </c>
      <c r="I35" s="24" t="s">
        <v>383</v>
      </c>
    </row>
    <row r="36" customFormat="false" ht="15" hidden="false" customHeight="false" outlineLevel="0" collapsed="false">
      <c r="A36" s="24" t="n">
        <v>28</v>
      </c>
      <c r="B36" s="24" t="s">
        <v>386</v>
      </c>
      <c r="C36" s="24"/>
      <c r="D36" s="25" t="n">
        <f aca="false">Sections!$C$10</f>
        <v>0.0303469394513294</v>
      </c>
      <c r="E36" s="26" t="n">
        <v>0.0303</v>
      </c>
      <c r="F36" s="27" t="n">
        <f aca="false">IF(ABS(D36)&lt;0.000000001,0,(E36-D36)/ABS(D36))</f>
        <v>-0.00154676063478002</v>
      </c>
      <c r="G36" s="28" t="n">
        <v>0.01</v>
      </c>
      <c r="H36" s="24" t="str">
        <f aca="false">IF(ABS(F36)&lt;=G36,"MATCH","FLAG")</f>
        <v>MATCH</v>
      </c>
      <c r="I36" s="24" t="s">
        <v>387</v>
      </c>
    </row>
    <row r="37" customFormat="false" ht="15" hidden="false" customHeight="false" outlineLevel="0" collapsed="false">
      <c r="A37" s="24" t="n">
        <v>29</v>
      </c>
      <c r="B37" s="24" t="s">
        <v>388</v>
      </c>
      <c r="C37" s="24" t="s">
        <v>222</v>
      </c>
      <c r="D37" s="25" t="n">
        <f aca="false">Sections!$C$44</f>
        <v>400</v>
      </c>
      <c r="E37" s="26" t="n">
        <v>400</v>
      </c>
      <c r="F37" s="27" t="n">
        <f aca="false">IF(ABS(D37)&lt;0.000000001,0,(E37-D37)/ABS(D37))</f>
        <v>0</v>
      </c>
      <c r="G37" s="28" t="n">
        <v>0.01</v>
      </c>
      <c r="H37" s="24" t="str">
        <f aca="false">IF(ABS(F37)&lt;=G37,"MATCH","FLAG")</f>
        <v>MATCH</v>
      </c>
      <c r="I37" s="24" t="s">
        <v>389</v>
      </c>
    </row>
    <row r="38" customFormat="false" ht="15" hidden="false" customHeight="false" outlineLevel="0" collapsed="false">
      <c r="A38" s="24" t="n">
        <v>30</v>
      </c>
      <c r="B38" s="24" t="s">
        <v>255</v>
      </c>
      <c r="C38" s="24" t="s">
        <v>47</v>
      </c>
      <c r="D38" s="25" t="n">
        <f aca="false">Sections!$C$47</f>
        <v>304.347826086957</v>
      </c>
      <c r="E38" s="26" t="n">
        <v>304</v>
      </c>
      <c r="F38" s="27" t="n">
        <f aca="false">IF(ABS(D38)&lt;0.000000001,0,(E38-D38)/ABS(D38))</f>
        <v>-0.00114285714285708</v>
      </c>
      <c r="G38" s="28" t="n">
        <v>0.01</v>
      </c>
      <c r="H38" s="24" t="str">
        <f aca="false">IF(ABS(F38)&lt;=G38,"MATCH","FLAG")</f>
        <v>MATCH</v>
      </c>
      <c r="I38" s="24" t="s">
        <v>390</v>
      </c>
    </row>
    <row r="39" customFormat="false" ht="15" hidden="false" customHeight="false" outlineLevel="0" collapsed="false">
      <c r="A39" s="24" t="n">
        <v>31</v>
      </c>
      <c r="B39" s="24" t="s">
        <v>391</v>
      </c>
      <c r="C39" s="24" t="s">
        <v>47</v>
      </c>
      <c r="D39" s="25" t="n">
        <f aca="false">Sections!$C$50</f>
        <v>317.418508072476</v>
      </c>
      <c r="E39" s="26" t="n">
        <v>317</v>
      </c>
      <c r="F39" s="27" t="n">
        <f aca="false">IF(ABS(D39)&lt;0.000000001,0,(E39-D39)/ABS(D39))</f>
        <v>-0.0013184740707713</v>
      </c>
      <c r="G39" s="28" t="n">
        <v>0.01</v>
      </c>
      <c r="H39" s="24" t="str">
        <f aca="false">IF(ABS(F39)&lt;=G39,"MATCH","FLAG")</f>
        <v>MATCH</v>
      </c>
      <c r="I39" s="24" t="s">
        <v>392</v>
      </c>
    </row>
    <row r="40" customFormat="false" ht="15" hidden="false" customHeight="false" outlineLevel="0" collapsed="false">
      <c r="A40" s="24" t="n">
        <v>32</v>
      </c>
      <c r="B40" s="24" t="s">
        <v>393</v>
      </c>
      <c r="C40" s="24" t="s">
        <v>47</v>
      </c>
      <c r="D40" s="25" t="n">
        <f aca="false">Sections!$C$51</f>
        <v>412.64406049422</v>
      </c>
      <c r="E40" s="26" t="n">
        <v>413</v>
      </c>
      <c r="F40" s="27" t="n">
        <f aca="false">IF(ABS(D40)&lt;0.000000001,0,(E40-D40)/ABS(D40))</f>
        <v>0.000862582404201317</v>
      </c>
      <c r="G40" s="28" t="n">
        <v>0.01</v>
      </c>
      <c r="H40" s="24" t="str">
        <f aca="false">IF(ABS(F40)&lt;=G40,"MATCH","FLAG")</f>
        <v>MATCH</v>
      </c>
      <c r="I40" s="24" t="s">
        <v>394</v>
      </c>
    </row>
    <row r="41" customFormat="false" ht="15" hidden="false" customHeight="false" outlineLevel="0" collapsed="false">
      <c r="A41" s="24" t="n">
        <v>33</v>
      </c>
      <c r="B41" s="24" t="s">
        <v>395</v>
      </c>
      <c r="C41" s="24" t="s">
        <v>47</v>
      </c>
      <c r="D41" s="25" t="n">
        <f aca="false">Sections!$C$53</f>
        <v>245.786897374594</v>
      </c>
      <c r="E41" s="26" t="n">
        <v>245.786897374594</v>
      </c>
      <c r="F41" s="27" t="n">
        <f aca="false">IF(ABS(D41)&lt;0.000000001,0,(E41-D41)/ABS(D41))</f>
        <v>0</v>
      </c>
      <c r="G41" s="28" t="n">
        <v>0.01</v>
      </c>
      <c r="H41" s="24" t="str">
        <f aca="false">IF(ABS(F41)&lt;=G41,"MATCH","FLAG")</f>
        <v>MATCH</v>
      </c>
      <c r="I41" s="24" t="s">
        <v>396</v>
      </c>
    </row>
    <row r="42" customFormat="false" ht="15" hidden="false" customHeight="false" outlineLevel="0" collapsed="false">
      <c r="A42" s="9"/>
      <c r="B42" s="4" t="s">
        <v>397</v>
      </c>
      <c r="C42" s="9"/>
      <c r="D42" s="9"/>
      <c r="E42" s="9"/>
      <c r="F42" s="9"/>
      <c r="G42" s="9"/>
      <c r="H42" s="9"/>
      <c r="I42" s="9"/>
    </row>
    <row r="43" customFormat="false" ht="15" hidden="false" customHeight="false" outlineLevel="0" collapsed="false">
      <c r="A43" s="24" t="n">
        <v>34</v>
      </c>
      <c r="B43" s="24" t="s">
        <v>398</v>
      </c>
      <c r="C43" s="24" t="s">
        <v>47</v>
      </c>
      <c r="D43" s="25" t="n">
        <f aca="false">Serviceability!$C$8</f>
        <v>296.116830579011</v>
      </c>
      <c r="E43" s="26" t="n">
        <v>296.116828987179</v>
      </c>
      <c r="F43" s="27" t="n">
        <f aca="false">IF(ABS(D43)&lt;0.000000001,0,(E43-D43)/ABS(D43))</f>
        <v>-5.37568756038438E-009</v>
      </c>
      <c r="G43" s="28" t="n">
        <v>0.01</v>
      </c>
      <c r="H43" s="24" t="str">
        <f aca="false">IF(ABS(F43)&lt;=G43,"MATCH","FLAG")</f>
        <v>MATCH</v>
      </c>
      <c r="I43" s="24" t="s">
        <v>399</v>
      </c>
    </row>
    <row r="44" customFormat="false" ht="15" hidden="false" customHeight="false" outlineLevel="0" collapsed="false">
      <c r="A44" s="24" t="n">
        <v>35</v>
      </c>
      <c r="B44" s="24" t="s">
        <v>400</v>
      </c>
      <c r="C44" s="24" t="s">
        <v>47</v>
      </c>
      <c r="D44" s="25" t="n">
        <f aca="false">Serviceability!$C$10</f>
        <v>260.635301656912</v>
      </c>
      <c r="E44" s="26" t="n">
        <v>260.635300200925</v>
      </c>
      <c r="F44" s="27" t="n">
        <f aca="false">IF(ABS(D44)&lt;0.000000001,0,(E44-D44)/ABS(D44))</f>
        <v>-5.58629957913367E-009</v>
      </c>
      <c r="G44" s="28" t="n">
        <v>0.01</v>
      </c>
      <c r="H44" s="24" t="str">
        <f aca="false">IF(ABS(F44)&lt;=G44,"MATCH","FLAG")</f>
        <v>MATCH</v>
      </c>
      <c r="I44" s="24" t="s">
        <v>399</v>
      </c>
    </row>
    <row r="45" customFormat="false" ht="15" hidden="false" customHeight="false" outlineLevel="0" collapsed="false">
      <c r="A45" s="24" t="n">
        <v>36</v>
      </c>
      <c r="B45" s="24" t="s">
        <v>401</v>
      </c>
      <c r="C45" s="24" t="s">
        <v>175</v>
      </c>
      <c r="D45" s="25" t="n">
        <f aca="false">Serviceability!$C$18</f>
        <v>21.7147568871186</v>
      </c>
      <c r="E45" s="26" t="n">
        <v>21.7147568871187</v>
      </c>
      <c r="F45" s="27" t="n">
        <f aca="false">IF(ABS(D45)&lt;0.000000001,0,(E45-D45)/ABS(D45))</f>
        <v>0</v>
      </c>
      <c r="G45" s="28" t="n">
        <v>0.01</v>
      </c>
      <c r="H45" s="24" t="str">
        <f aca="false">IF(ABS(F45)&lt;=G45,"MATCH","FLAG")</f>
        <v>MATCH</v>
      </c>
      <c r="I45" s="24" t="s">
        <v>402</v>
      </c>
    </row>
    <row r="46" customFormat="false" ht="15" hidden="false" customHeight="false" outlineLevel="0" collapsed="false">
      <c r="A46" s="24" t="n">
        <v>37</v>
      </c>
      <c r="B46" s="24" t="s">
        <v>403</v>
      </c>
      <c r="C46" s="24"/>
      <c r="D46" s="25" t="n">
        <f aca="false">Serviceability!$C$20</f>
        <v>0.211750262421725</v>
      </c>
      <c r="E46" s="26" t="n">
        <v>0.211753199988639</v>
      </c>
      <c r="F46" s="27" t="n">
        <f aca="false">IF(ABS(D46)&lt;0.000000001,0,(E46-D46)/ABS(D46))</f>
        <v>1.38727899559367E-005</v>
      </c>
      <c r="G46" s="28" t="n">
        <v>0.01</v>
      </c>
      <c r="H46" s="24" t="str">
        <f aca="false">IF(ABS(F46)&lt;=G46,"MATCH","FLAG")</f>
        <v>MATCH</v>
      </c>
      <c r="I46" s="24" t="s">
        <v>404</v>
      </c>
    </row>
    <row r="47" customFormat="false" ht="15" hidden="false" customHeight="false" outlineLevel="0" collapsed="false">
      <c r="A47" s="24" t="n">
        <v>38</v>
      </c>
      <c r="B47" s="24" t="s">
        <v>405</v>
      </c>
      <c r="C47" s="24"/>
      <c r="D47" s="25" t="n">
        <f aca="false">Serviceability!$C$22</f>
        <v>0.240317989623261</v>
      </c>
      <c r="E47" s="26" t="n">
        <v>0.240331856766479</v>
      </c>
      <c r="F47" s="27" t="n">
        <f aca="false">IF(ABS(D47)&lt;0.000000001,0,(E47-D47)/ABS(D47))</f>
        <v>5.77033090165471E-005</v>
      </c>
      <c r="G47" s="28" t="n">
        <v>0.01</v>
      </c>
      <c r="H47" s="24" t="str">
        <f aca="false">IF(ABS(F47)&lt;=G47,"MATCH","FLAG")</f>
        <v>MATCH</v>
      </c>
      <c r="I47" s="24" t="s">
        <v>404</v>
      </c>
    </row>
    <row r="48" customFormat="false" ht="15" hidden="false" customHeight="false" outlineLevel="0" collapsed="false">
      <c r="A48" s="24" t="n">
        <v>39</v>
      </c>
      <c r="B48" s="24" t="s">
        <v>406</v>
      </c>
      <c r="C48" s="24" t="s">
        <v>47</v>
      </c>
      <c r="D48" s="25" t="n">
        <f aca="false">Serviceability!$C$25</f>
        <v>18.4692685959235</v>
      </c>
      <c r="E48" s="26" t="n">
        <v>18.4689878048546</v>
      </c>
      <c r="F48" s="27" t="n">
        <f aca="false">IF(ABS(D48)&lt;0.000000001,0,(E48-D48)/ABS(D48))</f>
        <v>-1.52031504352156E-005</v>
      </c>
      <c r="G48" s="28" t="n">
        <v>0.02</v>
      </c>
      <c r="H48" s="24" t="str">
        <f aca="false">IF(ABS(F48)&lt;=G48,"MATCH","FLAG")</f>
        <v>MATCH</v>
      </c>
      <c r="I48" s="24" t="s">
        <v>407</v>
      </c>
    </row>
    <row r="49" customFormat="false" ht="15" hidden="false" customHeight="false" outlineLevel="0" collapsed="false">
      <c r="A49" s="24" t="n">
        <v>40</v>
      </c>
      <c r="B49" s="24" t="s">
        <v>408</v>
      </c>
      <c r="C49" s="24" t="s">
        <v>47</v>
      </c>
      <c r="D49" s="25" t="n">
        <f aca="false">Serviceability!$C$26</f>
        <v>78.0993791470159</v>
      </c>
      <c r="E49" s="26" t="n">
        <v>78.0999049984487</v>
      </c>
      <c r="F49" s="27" t="n">
        <f aca="false">IF(ABS(D49)&lt;0.000000001,0,(E49-D49)/ABS(D49))</f>
        <v>6.73310644077211E-006</v>
      </c>
      <c r="G49" s="28" t="n">
        <v>0.02</v>
      </c>
      <c r="H49" s="24" t="str">
        <f aca="false">IF(ABS(F49)&lt;=G49,"MATCH","FLAG")</f>
        <v>MATCH</v>
      </c>
      <c r="I49" s="24" t="s">
        <v>409</v>
      </c>
    </row>
    <row r="50" customFormat="false" ht="15" hidden="false" customHeight="false" outlineLevel="0" collapsed="false">
      <c r="A50" s="24" t="n">
        <v>41</v>
      </c>
      <c r="B50" s="24" t="s">
        <v>410</v>
      </c>
      <c r="C50" s="24" t="s">
        <v>47</v>
      </c>
      <c r="D50" s="25" t="n">
        <f aca="false">Serviceability!$C$29</f>
        <v>8.53671127288366</v>
      </c>
      <c r="E50" s="26" t="n">
        <v>8.53705968067296</v>
      </c>
      <c r="F50" s="27" t="n">
        <f aca="false">IF(ABS(D50)&lt;0.000000001,0,(E50-D50)/ABS(D50))</f>
        <v>4.08128819361792E-005</v>
      </c>
      <c r="G50" s="28" t="n">
        <v>0.02</v>
      </c>
      <c r="H50" s="24" t="str">
        <f aca="false">IF(ABS(F50)&lt;=G50,"MATCH","FLAG")</f>
        <v>MATCH</v>
      </c>
      <c r="I50" s="24" t="s">
        <v>407</v>
      </c>
    </row>
    <row r="51" customFormat="false" ht="15" hidden="false" customHeight="false" outlineLevel="0" collapsed="false">
      <c r="A51" s="24" t="n">
        <v>42</v>
      </c>
      <c r="B51" s="24" t="s">
        <v>411</v>
      </c>
      <c r="C51" s="24" t="s">
        <v>47</v>
      </c>
      <c r="D51" s="25" t="n">
        <f aca="false">Serviceability!$C$30</f>
        <v>35.8716661584323</v>
      </c>
      <c r="E51" s="26" t="n">
        <v>35.8638865532866</v>
      </c>
      <c r="F51" s="27" t="n">
        <f aca="false">IF(ABS(D51)&lt;0.000000001,0,(E51-D51)/ABS(D51))</f>
        <v>-0.000216873259002897</v>
      </c>
      <c r="G51" s="28" t="n">
        <v>0.02</v>
      </c>
      <c r="H51" s="24" t="str">
        <f aca="false">IF(ABS(F51)&lt;=G51,"MATCH","FLAG")</f>
        <v>MATCH</v>
      </c>
      <c r="I51" s="24" t="s">
        <v>409</v>
      </c>
    </row>
    <row r="52" customFormat="false" ht="15" hidden="false" customHeight="false" outlineLevel="0" collapsed="false">
      <c r="A52" s="9"/>
      <c r="B52" s="4" t="s">
        <v>412</v>
      </c>
      <c r="C52" s="9"/>
      <c r="D52" s="9"/>
      <c r="E52" s="9"/>
      <c r="F52" s="9"/>
      <c r="G52" s="9"/>
      <c r="H52" s="9"/>
      <c r="I52" s="9"/>
    </row>
    <row r="53" customFormat="false" ht="15" hidden="false" customHeight="false" outlineLevel="0" collapsed="false">
      <c r="A53" s="24" t="n">
        <v>43</v>
      </c>
      <c r="B53" s="24" t="s">
        <v>413</v>
      </c>
      <c r="C53" s="24" t="s">
        <v>167</v>
      </c>
      <c r="D53" s="25" t="n">
        <f aca="false">Footing!$C$7</f>
        <v>91.5525703770199</v>
      </c>
      <c r="E53" s="26" t="n">
        <v>91.5517592033294</v>
      </c>
      <c r="F53" s="27" t="n">
        <f aca="false">IF(ABS(D53)&lt;0.000000001,0,(E53-D53)/ABS(D53))</f>
        <v>-8.86019570110353E-006</v>
      </c>
      <c r="G53" s="28" t="n">
        <v>0.02</v>
      </c>
      <c r="H53" s="24" t="str">
        <f aca="false">IF(ABS(F53)&lt;=G53,"MATCH","FLAG")</f>
        <v>MATCH</v>
      </c>
      <c r="I53" s="24" t="s">
        <v>414</v>
      </c>
    </row>
    <row r="54" customFormat="false" ht="15" hidden="false" customHeight="false" outlineLevel="0" collapsed="false">
      <c r="A54" s="24" t="n">
        <v>44</v>
      </c>
      <c r="B54" s="24" t="s">
        <v>415</v>
      </c>
      <c r="C54" s="24" t="s">
        <v>171</v>
      </c>
      <c r="D54" s="25" t="n">
        <f aca="false">Footing!$C$8</f>
        <v>0.42899773210816</v>
      </c>
      <c r="E54" s="26" t="n">
        <v>0.428995990025326</v>
      </c>
      <c r="F54" s="27" t="n">
        <f aca="false">IF(ABS(D54)&lt;0.000000001,0,(E54-D54)/ABS(D54))</f>
        <v>-4.06082061523244E-006</v>
      </c>
      <c r="G54" s="28" t="n">
        <v>0.02</v>
      </c>
      <c r="H54" s="24" t="str">
        <f aca="false">IF(ABS(F54)&lt;=G54,"MATCH","FLAG")</f>
        <v>MATCH</v>
      </c>
      <c r="I54" s="24" t="s">
        <v>416</v>
      </c>
    </row>
    <row r="55" customFormat="false" ht="15" hidden="false" customHeight="false" outlineLevel="0" collapsed="false">
      <c r="A55" s="24" t="n">
        <v>45</v>
      </c>
      <c r="B55" s="24" t="s">
        <v>317</v>
      </c>
      <c r="C55" s="24"/>
      <c r="D55" s="25" t="n">
        <f aca="false">Footing!$C$11</f>
        <v>0.314686978265805</v>
      </c>
      <c r="E55" s="26" t="n">
        <v>0.314688256158363</v>
      </c>
      <c r="F55" s="27" t="n">
        <f aca="false">IF(ABS(D55)&lt;0.000000001,0,(E55-D55)/ABS(D55))</f>
        <v>4.06083710560886E-006</v>
      </c>
      <c r="G55" s="28" t="n">
        <v>0.02</v>
      </c>
      <c r="H55" s="24" t="str">
        <f aca="false">IF(ABS(F55)&lt;=G55,"MATCH","FLAG")</f>
        <v>MATCH</v>
      </c>
      <c r="I55" s="24" t="s">
        <v>417</v>
      </c>
    </row>
    <row r="56" customFormat="false" ht="15" hidden="false" customHeight="false" outlineLevel="0" collapsed="false">
      <c r="A56" s="24" t="n">
        <v>46</v>
      </c>
      <c r="B56" s="24" t="s">
        <v>418</v>
      </c>
      <c r="C56" s="24" t="s">
        <v>175</v>
      </c>
      <c r="D56" s="25" t="n">
        <f aca="false">Footing!$C$13</f>
        <v>45.0920656653761</v>
      </c>
      <c r="E56" s="26" t="n">
        <v>45.0920656653761</v>
      </c>
      <c r="F56" s="27" t="n">
        <f aca="false">IF(ABS(D56)&lt;0.000000001,0,(E56-D56)/ABS(D56))</f>
        <v>0</v>
      </c>
      <c r="G56" s="28" t="n">
        <v>0.01</v>
      </c>
      <c r="H56" s="24" t="str">
        <f aca="false">IF(ABS(F56)&lt;=G56,"MATCH","FLAG")</f>
        <v>MATCH</v>
      </c>
      <c r="I56" s="24" t="s">
        <v>419</v>
      </c>
    </row>
    <row r="58" customFormat="false" ht="15" hidden="false" customHeight="false" outlineLevel="0" collapsed="false">
      <c r="B58" s="2" t="s">
        <v>16</v>
      </c>
      <c r="D58" s="29" t="n">
        <f aca="false">COUNTIF(H5:H56,"MATCH")+COUNTIF(H5:H56,"FLAG")</f>
        <v>46</v>
      </c>
    </row>
    <row r="59" customFormat="false" ht="15" hidden="false" customHeight="false" outlineLevel="0" collapsed="false">
      <c r="B59" s="2" t="s">
        <v>17</v>
      </c>
      <c r="D59" s="29" t="n">
        <f aca="false">COUNTIF(H5:H56,"MATCH")</f>
        <v>46</v>
      </c>
    </row>
    <row r="60" customFormat="false" ht="15" hidden="false" customHeight="false" outlineLevel="0" collapsed="false">
      <c r="B60" s="2" t="s">
        <v>18</v>
      </c>
      <c r="D60" s="29" t="n">
        <f aca="false">COUNTIF(H5:H56,"FLAG")</f>
        <v>0</v>
      </c>
    </row>
    <row r="61" customFormat="false" ht="15" hidden="false" customHeight="false" outlineLevel="0" collapsed="false">
      <c r="B61" s="2" t="s">
        <v>19</v>
      </c>
      <c r="D61" s="30" t="n">
        <f aca="false">SUMPRODUCT(MAX(ABS(F5:F56)))</f>
        <v>0.00154676063478002</v>
      </c>
    </row>
  </sheetData>
  <conditionalFormatting sqref="H5:H56">
    <cfRule type="expression" priority="2" aboveAverage="0" equalAverage="0" bottom="0" percent="0" rank="0" text="" dxfId="0">
      <formula>H5="MATCH"</formula>
    </cfRule>
    <cfRule type="expression" priority="3" aboveAverage="0" equalAverage="0" bottom="0" percent="0" rank="0" text="" dxfId="1">
      <formula>H5="FLAG"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4" min="3" style="0" width="50"/>
    <col collapsed="false" customWidth="true" hidden="false" outlineLevel="0" max="5" min="5" style="0" width="55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420</v>
      </c>
    </row>
    <row r="3" customFormat="false" ht="15" hidden="false" customHeight="false" outlineLevel="0" collapsed="false">
      <c r="A3" s="8" t="s">
        <v>327</v>
      </c>
      <c r="B3" s="8" t="s">
        <v>421</v>
      </c>
      <c r="C3" s="8" t="s">
        <v>422</v>
      </c>
      <c r="D3" s="8" t="s">
        <v>423</v>
      </c>
      <c r="E3" s="8" t="s">
        <v>424</v>
      </c>
      <c r="F3" s="8" t="s">
        <v>425</v>
      </c>
    </row>
    <row r="4" customFormat="false" ht="105" hidden="false" customHeight="true" outlineLevel="0" collapsed="false">
      <c r="A4" s="12" t="n">
        <v>1</v>
      </c>
      <c r="B4" s="12" t="s">
        <v>426</v>
      </c>
      <c r="C4" s="12" t="s">
        <v>427</v>
      </c>
      <c r="D4" s="12" t="s">
        <v>428</v>
      </c>
      <c r="E4" s="12" t="s">
        <v>429</v>
      </c>
      <c r="F4" s="31"/>
    </row>
    <row r="5" customFormat="false" ht="105" hidden="false" customHeight="true" outlineLevel="0" collapsed="false">
      <c r="A5" s="12" t="n">
        <v>2</v>
      </c>
      <c r="B5" s="12" t="s">
        <v>430</v>
      </c>
      <c r="C5" s="12" t="s">
        <v>431</v>
      </c>
      <c r="D5" s="12" t="s">
        <v>432</v>
      </c>
      <c r="E5" s="12" t="s">
        <v>433</v>
      </c>
      <c r="F5" s="31"/>
    </row>
    <row r="6" customFormat="false" ht="105" hidden="false" customHeight="true" outlineLevel="0" collapsed="false">
      <c r="A6" s="12" t="n">
        <v>3</v>
      </c>
      <c r="B6" s="12" t="s">
        <v>434</v>
      </c>
      <c r="C6" s="12" t="s">
        <v>435</v>
      </c>
      <c r="D6" s="12" t="s">
        <v>436</v>
      </c>
      <c r="E6" s="12" t="s">
        <v>437</v>
      </c>
      <c r="F6" s="31"/>
    </row>
    <row r="7" customFormat="false" ht="105" hidden="false" customHeight="true" outlineLevel="0" collapsed="false">
      <c r="A7" s="12" t="n">
        <v>4</v>
      </c>
      <c r="B7" s="12" t="s">
        <v>438</v>
      </c>
      <c r="C7" s="12" t="s">
        <v>439</v>
      </c>
      <c r="D7" s="12" t="s">
        <v>440</v>
      </c>
      <c r="E7" s="12" t="s">
        <v>441</v>
      </c>
      <c r="F7" s="31"/>
    </row>
    <row r="8" customFormat="false" ht="105" hidden="false" customHeight="true" outlineLevel="0" collapsed="false">
      <c r="A8" s="12" t="n">
        <v>5</v>
      </c>
      <c r="B8" s="12" t="s">
        <v>442</v>
      </c>
      <c r="C8" s="12" t="s">
        <v>443</v>
      </c>
      <c r="D8" s="12" t="s">
        <v>444</v>
      </c>
      <c r="E8" s="12" t="s">
        <v>445</v>
      </c>
      <c r="F8" s="31"/>
    </row>
    <row r="9" customFormat="false" ht="105" hidden="false" customHeight="true" outlineLevel="0" collapsed="false">
      <c r="A9" s="12" t="n">
        <v>6</v>
      </c>
      <c r="B9" s="12" t="s">
        <v>446</v>
      </c>
      <c r="C9" s="12" t="s">
        <v>447</v>
      </c>
      <c r="D9" s="12" t="s">
        <v>448</v>
      </c>
      <c r="E9" s="12" t="s">
        <v>449</v>
      </c>
      <c r="F9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2026-10-17T16:03:13Z</dcterms:created>
  <dc:creator>openpyxl</dc:creator>
  <dc:description/>
  <dc:language>en-US</dc:language>
  <cp:lastModifiedBy/>
  <dcterms:modified xsi:type="dcterms:W3CDTF">2026-10-17T16:03:13Z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